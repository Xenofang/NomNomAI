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da\Downloads\"/>
    </mc:Choice>
  </mc:AlternateContent>
  <xr:revisionPtr revIDLastSave="0" documentId="13_ncr:1_{FCAFC906-DD76-4C9F-8121-69438208F08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Testing Report" sheetId="1" r:id="rId1"/>
    <sheet name="Manual Test Cases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" i="3" l="1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6" i="3"/>
  <c r="C15" i="3"/>
  <c r="C14" i="3"/>
  <c r="C13" i="3"/>
  <c r="C12" i="3"/>
  <c r="C11" i="3"/>
  <c r="C10" i="3"/>
  <c r="C9" i="3"/>
  <c r="C8" i="3"/>
</calcChain>
</file>

<file path=xl/sharedStrings.xml><?xml version="1.0" encoding="utf-8"?>
<sst xmlns="http://schemas.openxmlformats.org/spreadsheetml/2006/main" count="4101" uniqueCount="1760">
  <si>
    <t>MANUAL TESTING REPORT</t>
  </si>
  <si>
    <t>NomNom AI — AI Recipe Generator From Ingredients</t>
  </si>
  <si>
    <t>https://nomnom.qzz.io/</t>
  </si>
  <si>
    <t>Product / URL</t>
  </si>
  <si>
    <t>NomNom AI — https://nomnom.qzz.io</t>
  </si>
  <si>
    <t>Report Date</t>
  </si>
  <si>
    <t>August 11, 2026</t>
  </si>
  <si>
    <t>Test Type</t>
  </si>
  <si>
    <t>Manual Functional, UI/UX, Responsive, Accessibility &amp; Basic Security Testing</t>
  </si>
  <si>
    <t>Total Test Cases</t>
  </si>
  <si>
    <t>40</t>
  </si>
  <si>
    <t>Prepared By</t>
  </si>
  <si>
    <t>Jhalak Mandal</t>
  </si>
  <si>
    <t>Status</t>
  </si>
  <si>
    <t>Ready for execution — results pending</t>
  </si>
  <si>
    <t>1. Overview</t>
  </si>
  <si>
    <t>NomNom AI is a web application that generates personalized recipes from a list of user-supplied ingredients, producing meal ideas and cooking instructions. This report defines the manual test suite covering core functionality, input validation, recipe generation, responsive design, cross-browser compatibility, accessibility, and basic security checks.</t>
  </si>
  <si>
    <t>2. Test Environment</t>
  </si>
  <si>
    <t>Application URL</t>
  </si>
  <si>
    <t>https://nomnom.qzz.io</t>
  </si>
  <si>
    <t>Browsers</t>
  </si>
  <si>
    <t>Chrome (latest), Firefox (latest), Safari (latest), Edge (latest)</t>
  </si>
  <si>
    <t>Devices</t>
  </si>
  <si>
    <t>Desktop (1920×1080), Tablet (768×1024), Mobile (375×812)</t>
  </si>
  <si>
    <t>Operating Systems</t>
  </si>
  <si>
    <t>Windows 11, macOS, iOS, Android</t>
  </si>
  <si>
    <t>Network Conditions</t>
  </si>
  <si>
    <t>Standard broadband; throttled 3G for degraded-network checks</t>
  </si>
  <si>
    <t>3. Test Summary</t>
  </si>
  <si>
    <t>Passed</t>
  </si>
  <si>
    <t>Failed</t>
  </si>
  <si>
    <t>Not Executed</t>
  </si>
  <si>
    <t>Blocked</t>
  </si>
  <si>
    <t>Sr. No.</t>
  </si>
  <si>
    <t>Test Scenario</t>
  </si>
  <si>
    <t>Test Case ID</t>
  </si>
  <si>
    <t>Test Case Name</t>
  </si>
  <si>
    <t>Test Case Details / Steps</t>
  </si>
  <si>
    <t>Pre-conditions</t>
  </si>
  <si>
    <t>Expected Result</t>
  </si>
  <si>
    <t>Actual Result</t>
  </si>
  <si>
    <t>Pass/Fail</t>
  </si>
  <si>
    <t>Priority</t>
  </si>
  <si>
    <t>Homepage &amp; Page Load</t>
  </si>
  <si>
    <t>TC-HPL-001</t>
  </si>
  <si>
    <t>Homepage loads successfully</t>
  </si>
  <si>
    <t>Navigate to https://nomnom.qzz.io</t>
  </si>
  <si>
    <t>Internet connection available</t>
  </si>
  <si>
    <t>Page returns HTTP 200 and renders header, ingredient input, and hero section</t>
  </si>
  <si>
    <t>Pass</t>
  </si>
  <si>
    <t>High</t>
  </si>
  <si>
    <t>TC-HPL-002</t>
  </si>
  <si>
    <t>Page title is correct</t>
  </si>
  <si>
    <t>Load homepage; inspect browser tab title</t>
  </si>
  <si>
    <t>Browser is open; https://nomnom.qzz.io is reachable</t>
  </si>
  <si>
    <t>Tab shows 'NomNom AI - AI Recipe Generator From Ingredients'</t>
  </si>
  <si>
    <t>Low</t>
  </si>
  <si>
    <t>TC-HPL-003</t>
  </si>
  <si>
    <t>Meta description present</t>
  </si>
  <si>
    <t>View page source; locate meta description tag</t>
  </si>
  <si>
    <t>Meta description matches 'Generate personalized recipes instantly with AI...'</t>
  </si>
  <si>
    <t>TC-HPL-004</t>
  </si>
  <si>
    <t>Open Graph tags present</t>
  </si>
  <si>
    <t>View page source; locate og:title, og:description, og:image, og:url</t>
  </si>
  <si>
    <t>All OG tags are present and populated with correct values</t>
  </si>
  <si>
    <t>TC-HPL-005</t>
  </si>
  <si>
    <t>Twitter card tags present</t>
  </si>
  <si>
    <t>View page source; locate twitter:card, twitter:title, twitter:description, twitter:image</t>
  </si>
  <si>
    <t>Twitter card meta tags render correctly when link is shared on Twitter/X</t>
  </si>
  <si>
    <t>TC-HPL-006</t>
  </si>
  <si>
    <t>Favicon / chef hat logo renders</t>
  </si>
  <si>
    <t>Observe browser tab icon and page header logo</t>
  </si>
  <si>
    <t>Chef hat icon renders correctly; no broken image icon</t>
  </si>
  <si>
    <t>Medium</t>
  </si>
  <si>
    <t>TC-HPL-007</t>
  </si>
  <si>
    <t>Theme color applied</t>
  </si>
  <si>
    <t>Load site on mobile browser (Chrome/Safari)</t>
  </si>
  <si>
    <t>Browser chrome/address bar reflects theme-color #ffffff</t>
  </si>
  <si>
    <t>TC-HPL-008</t>
  </si>
  <si>
    <t>Page fully loads within performance budget</t>
  </si>
  <si>
    <t>Load homepage with DevTools Network tab open, throttled to Fast 3G</t>
  </si>
  <si>
    <t>Page becomes interactive within 3-5 seconds</t>
  </si>
  <si>
    <t>TC-HPL-009</t>
  </si>
  <si>
    <t>No console errors on load</t>
  </si>
  <si>
    <t>Open DevTools Console; reload homepage</t>
  </si>
  <si>
    <t>No JavaScript errors, 404s, or CORS warnings logged</t>
  </si>
  <si>
    <t>TC-HPL-010</t>
  </si>
  <si>
    <t>No broken network requests</t>
  </si>
  <si>
    <t>Open DevTools Network tab; reload homepage</t>
  </si>
  <si>
    <t>All requests (JS, CSS, images, fonts) return 200/304, none fail</t>
  </si>
  <si>
    <t>TC-HPL-011</t>
  </si>
  <si>
    <t>HTTPS enforced</t>
  </si>
  <si>
    <t>Attempt to load http://nomnom.qzz.io (non-secure)</t>
  </si>
  <si>
    <t>None</t>
  </si>
  <si>
    <t>Browser redirects to https:// automatically</t>
  </si>
  <si>
    <t>TC-HPL-012</t>
  </si>
  <si>
    <t>SSL certificate valid</t>
  </si>
  <si>
    <t>Click the padlock icon in the address bar</t>
  </si>
  <si>
    <t>Certificate is valid, trusted, and not expired</t>
  </si>
  <si>
    <t>TC-HPL-014</t>
  </si>
  <si>
    <t>Favicon displays across all major browsers</t>
  </si>
  <si>
    <t>Open site in Chrome, Firefox, Safari, Edge</t>
  </si>
  <si>
    <t>Favicon renders identically in all browsers</t>
  </si>
  <si>
    <t>TC-HPL-015</t>
  </si>
  <si>
    <t>robots.txt / indexing allowed</t>
  </si>
  <si>
    <t>Check meta robots tag in page source</t>
  </si>
  <si>
    <t>Meta robots is set to 'index, follow' as intended</t>
  </si>
  <si>
    <t>Ingredient Input - Functional</t>
  </si>
  <si>
    <t>TC-IIF-001</t>
  </si>
  <si>
    <t>Add a single ingredient via text field</t>
  </si>
  <si>
    <t>Type 'chicken' into ingredient input; click Add</t>
  </si>
  <si>
    <t>'chicken' appears in the ingredient list</t>
  </si>
  <si>
    <t>TC-IIF-002</t>
  </si>
  <si>
    <t>Add multiple ingredients sequentially</t>
  </si>
  <si>
    <t>Add 'chicken', 'rice', 'broccoli', 'garlic' one at a time</t>
  </si>
  <si>
    <t>All four ingredients appear in the list, none overwritten</t>
  </si>
  <si>
    <t>TC-IIF-003</t>
  </si>
  <si>
    <t>Add ingredient using Enter key</t>
  </si>
  <si>
    <t>Type ingredient name; press Enter instead of clicking Add</t>
  </si>
  <si>
    <t>Ingredient is added identically to clicking the Add button</t>
  </si>
  <si>
    <t>TC-IIF-004</t>
  </si>
  <si>
    <t>Remove a single ingredient</t>
  </si>
  <si>
    <t>Click the remove/delete icon on one ingredient chip</t>
  </si>
  <si>
    <t>At least one valid ingredient has been added</t>
  </si>
  <si>
    <t>That ingredient is removed instantly; others remain</t>
  </si>
  <si>
    <t>TC-IIF-005</t>
  </si>
  <si>
    <t>Remove all ingredients via Clear All</t>
  </si>
  <si>
    <t>Click 'Clear All' (if present) after adding several ingredients</t>
  </si>
  <si>
    <t>All ingredients are removed and input resets to empty state</t>
  </si>
  <si>
    <t>TC-IIF-006</t>
  </si>
  <si>
    <t>Add duplicate ingredient</t>
  </si>
  <si>
    <t>Add 'egg', then add 'egg' again</t>
  </si>
  <si>
    <t>App prevents duplicate entry or merges gracefully with a clear indication</t>
  </si>
  <si>
    <t>TC-IIF-007</t>
  </si>
  <si>
    <t>Add ingredient with mixed case</t>
  </si>
  <si>
    <t>Add 'Chicken', then add 'chicken'</t>
  </si>
  <si>
    <t>App treats both as the same ingredient (case-insensitive) or clearly lists both</t>
  </si>
  <si>
    <t>TC-IIF-008</t>
  </si>
  <si>
    <t>Ingredient list scrolls with many items</t>
  </si>
  <si>
    <t>Add 20+ ingredients</t>
  </si>
  <si>
    <t>List scrolls or wraps without breaking layout</t>
  </si>
  <si>
    <t>TC-IIF-009</t>
  </si>
  <si>
    <t>Ingredient input field placeholder text</t>
  </si>
  <si>
    <t>Observe empty input field</t>
  </si>
  <si>
    <t>Placeholder gives clear guidance (e.g., 'Enter an ingredient...')</t>
  </si>
  <si>
    <t>TC-IIF-010</t>
  </si>
  <si>
    <t>Ingredient input autocomplete/suggestions</t>
  </si>
  <si>
    <t>Start typing a partial ingredient name (e.g., 'tom')</t>
  </si>
  <si>
    <t>Relevant suggestions appear (e.g., 'tomato') if feature exists</t>
  </si>
  <si>
    <t>TC-IIF-011</t>
  </si>
  <si>
    <t>Select ingredient from autocomplete dropdown</t>
  </si>
  <si>
    <t>Type partial name; click a suggested item</t>
  </si>
  <si>
    <t>Selected suggestion is added to the ingredient list</t>
  </si>
  <si>
    <t>TC-IIF-012</t>
  </si>
  <si>
    <t>Add ingredient with quantity/unit included</t>
  </si>
  <si>
    <t>Type '2 cups rice' into input</t>
  </si>
  <si>
    <t>App parses ingredient sensibly or accepts as free text without breaking</t>
  </si>
  <si>
    <t>TC-IIF-013</t>
  </si>
  <si>
    <t>Generate button disabled state with no ingredients</t>
  </si>
  <si>
    <t>Observe Generate Recipe button before any ingredient is added</t>
  </si>
  <si>
    <t>Button is disabled or clearly indicates ingredients are required</t>
  </si>
  <si>
    <t>TC-IIF-014</t>
  </si>
  <si>
    <t>Generate button enabled after first ingredient</t>
  </si>
  <si>
    <t>Add one ingredient; observe Generate button</t>
  </si>
  <si>
    <t>Button becomes enabled/clickable</t>
  </si>
  <si>
    <t>TC-IIF-015</t>
  </si>
  <si>
    <t>Edit an already-added ingredient</t>
  </si>
  <si>
    <t>Click on an existing ingredient chip to edit its text</t>
  </si>
  <si>
    <t>Ingredient text updates in place if editing is supported, else no crash occurs</t>
  </si>
  <si>
    <t>TC-IIF-016</t>
  </si>
  <si>
    <t>Ingredient counter/summary display</t>
  </si>
  <si>
    <t>Add several ingredients; look for a count indicator</t>
  </si>
  <si>
    <t>UI shows accurate count of added ingredients (if such element exists)</t>
  </si>
  <si>
    <t>TC-IIF-017</t>
  </si>
  <si>
    <t>Paste multiple ingredients at once (comma separated)</t>
  </si>
  <si>
    <t>Paste 'chicken, rice, garlic' into input field</t>
  </si>
  <si>
    <t>App splits into separate ingredients or handles as single string consistently</t>
  </si>
  <si>
    <t>TC-IIF-018</t>
  </si>
  <si>
    <t>Drag and drop reorder ingredients</t>
  </si>
  <si>
    <t>Drag one ingredient chip above another (if supported)</t>
  </si>
  <si>
    <t>Order updates visually and is preserved for generation</t>
  </si>
  <si>
    <t>TC-IIF-019</t>
  </si>
  <si>
    <t>Ingredient input retains focus after Add</t>
  </si>
  <si>
    <t>Add an ingredient via button click</t>
  </si>
  <si>
    <t>Input field regains focus, ready for next entry</t>
  </si>
  <si>
    <t>TC-IIF-020</t>
  </si>
  <si>
    <t>Voice input for ingredient (if supported)</t>
  </si>
  <si>
    <t>Tap microphone icon and speak an ingredient name</t>
  </si>
  <si>
    <t>Spoken ingredient is transcribed and added correctly</t>
  </si>
  <si>
    <t>TC-IIF-021</t>
  </si>
  <si>
    <t>Ingredient chip visual state on hover</t>
  </si>
  <si>
    <t>Hover mouse over an ingredient chip on desktop</t>
  </si>
  <si>
    <t>Hover state (e.g., highlight, remove icon) displays clearly</t>
  </si>
  <si>
    <t>TC-IIF-022</t>
  </si>
  <si>
    <t>Add ingredient via camera/OCR scan (if supported)</t>
  </si>
  <si>
    <t>Tap scan icon; capture photo of a grocery item/receipt</t>
  </si>
  <si>
    <t>Ingredient(s) are extracted via OCR and added to the list</t>
  </si>
  <si>
    <t>TC-IIF-023</t>
  </si>
  <si>
    <t>Minimum character validation on input</t>
  </si>
  <si>
    <t>Type a single character (e.g., 'a') and submit</t>
  </si>
  <si>
    <t>App accepts or shows guidance for very short entries without crashing</t>
  </si>
  <si>
    <t>TC-IIF-024</t>
  </si>
  <si>
    <t>Ingredient list persists while typing next item</t>
  </si>
  <si>
    <t>Add ingredient A, begin typing ingredient B without submitting</t>
  </si>
  <si>
    <t>Ingredient A remains visible while B is being typed</t>
  </si>
  <si>
    <t>TC-IIF-025</t>
  </si>
  <si>
    <t>Tab key moves focus from input to Add button</t>
  </si>
  <si>
    <t>Type ingredient, press Tab, press Enter/Space</t>
  </si>
  <si>
    <t>Focus moves to Add button and activates it correctly</t>
  </si>
  <si>
    <t>Input Validation &amp; Edge Cases</t>
  </si>
  <si>
    <t>TC-IVE-001</t>
  </si>
  <si>
    <t>Empty submission - Ingredient input field</t>
  </si>
  <si>
    <t>Leave field empty and submit/generate in the ingredient input field</t>
  </si>
  <si>
    <t>A clear validation message appears; no crash or blank result</t>
  </si>
  <si>
    <t>TC-IVE-002</t>
  </si>
  <si>
    <t>Whitespace-only input - Ingredient input field</t>
  </si>
  <si>
    <t>Enter only spaces (e.g., '   ') and submit in the ingredient input field</t>
  </si>
  <si>
    <t>App trims/rejects whitespace-only input with appropriate message</t>
  </si>
  <si>
    <t>TC-IVE-003</t>
  </si>
  <si>
    <t>Leading/trailing whitespace - Ingredient input field</t>
  </si>
  <si>
    <t>Enter '  tomato  ' with extra spaces in the ingredient input field</t>
  </si>
  <si>
    <t>Whitespace is trimmed automatically; ingredient stored as 'tomato'</t>
  </si>
  <si>
    <t>TC-IVE-004</t>
  </si>
  <si>
    <t>Special characters - Ingredient input field</t>
  </si>
  <si>
    <t>Enter symbols such as @#$%^&amp;*() in the ingredient input field</t>
  </si>
  <si>
    <t>Input is sanitized or rejected; no crash or broken UI</t>
  </si>
  <si>
    <t>TC-IVE-005</t>
  </si>
  <si>
    <t>HTML/script tag injection - Ingredient input field</t>
  </si>
  <si>
    <t>Enter '&lt;script&gt;alert(1)&lt;/script&gt;' in the ingredient input field</t>
  </si>
  <si>
    <t>Input is escaped/sanitized; no script executes (XSS prevented)</t>
  </si>
  <si>
    <t>TC-IVE-006</t>
  </si>
  <si>
    <t>SQL injection pattern - Ingredient input field</t>
  </si>
  <si>
    <t>Enter "' OR '1'='1" in the ingredient input field</t>
  </si>
  <si>
    <t>Input is treated as plain text; no database error surfaces</t>
  </si>
  <si>
    <t>TC-IVE-007</t>
  </si>
  <si>
    <t>Very long string (250+ chars) - Ingredient input field</t>
  </si>
  <si>
    <t>Enter a string of 250+ characters in the ingredient input field</t>
  </si>
  <si>
    <t>Input is truncated or rejected gracefully with clear messaging</t>
  </si>
  <si>
    <t>TC-IVE-008</t>
  </si>
  <si>
    <t>Numeric-only input - Ingredient input field</t>
  </si>
  <si>
    <t>Enter only digits (e.g., '12345') in the ingredient input field</t>
  </si>
  <si>
    <t>App flags as invalid or handles without producing a nonsensical result</t>
  </si>
  <si>
    <t>TC-IVE-009</t>
  </si>
  <si>
    <t>Emoji input - Ingredient input field</t>
  </si>
  <si>
    <t>Enter an emoji (e.g., 🍅 tomato emoji) in the ingredient input field</t>
  </si>
  <si>
    <t>Input is accepted as text or rejected cleanly, no layout break</t>
  </si>
  <si>
    <t>TC-IVE-010</t>
  </si>
  <si>
    <t>Non-English characters - Ingredient input field</t>
  </si>
  <si>
    <r>
      <rPr>
        <sz val="10"/>
        <rFont val="Arial"/>
        <charset val="1"/>
      </rPr>
      <t>Enter non-Latin script (e.g., '</t>
    </r>
    <r>
      <rPr>
        <sz val="10"/>
        <rFont val="Noto Sans CJK SC"/>
        <family val="2"/>
      </rPr>
      <t>香菜</t>
    </r>
    <r>
      <rPr>
        <sz val="10"/>
        <rFont val="Arial"/>
        <charset val="1"/>
      </rPr>
      <t>', '</t>
    </r>
    <r>
      <rPr>
        <sz val="10"/>
        <rFont val="Noto Sans CJK SC"/>
        <family val="2"/>
      </rPr>
      <t>샨러드</t>
    </r>
    <r>
      <rPr>
        <sz val="10"/>
        <rFont val="Arial"/>
        <charset val="1"/>
      </rPr>
      <t>') in the ingredient input field</t>
    </r>
  </si>
  <si>
    <t>Input is accepted and processed without breaking layout or encoding</t>
  </si>
  <si>
    <t>TC-IVE-011</t>
  </si>
  <si>
    <t>Accented characters - Ingredient input field</t>
  </si>
  <si>
    <t>Enter accented text (e.g., 'jalapeño', 'café') in the ingredient input field</t>
  </si>
  <si>
    <t>Input is accepted and displayed with correct accents preserved</t>
  </si>
  <si>
    <t>TC-IVE-012</t>
  </si>
  <si>
    <t>Non-food nonsense words - Ingredient input field</t>
  </si>
  <si>
    <t>Enter clearly non-food terms (e.g., 'rocks', 'plastic') in the ingredient input field</t>
  </si>
  <si>
    <t>App declines gracefully or clearly flags as an unusable ingredient</t>
  </si>
  <si>
    <t>TC-IVE-013</t>
  </si>
  <si>
    <t>Line break / newline in input - Ingredient input field</t>
  </si>
  <si>
    <t>Paste text containing a newline character in the ingredient input field</t>
  </si>
  <si>
    <t>Newline is stripped or handled without breaking the input field</t>
  </si>
  <si>
    <t>TC-IVE-014</t>
  </si>
  <si>
    <t>Repeated single character spam - Ingredient input field</t>
  </si>
  <si>
    <t>Enter 'aaaaaaaaaaaaaaaaaaaa' in the ingredient input field</t>
  </si>
  <si>
    <t>App handles input without crashing; treated as unrecognized</t>
  </si>
  <si>
    <t>TC-IVE-015</t>
  </si>
  <si>
    <t>Empty submission - Servings/quantity field</t>
  </si>
  <si>
    <t>Leave field empty and submit/generate in the servings/quantity field</t>
  </si>
  <si>
    <t>TC-IVE-016</t>
  </si>
  <si>
    <t>Whitespace-only input - Servings/quantity field</t>
  </si>
  <si>
    <t>Enter only spaces (e.g., '   ') and submit in the servings/quantity field</t>
  </si>
  <si>
    <t>TC-IVE-017</t>
  </si>
  <si>
    <t>Leading/trailing whitespace - Servings/quantity field</t>
  </si>
  <si>
    <t>Enter '  tomato  ' with extra spaces in the servings/quantity field</t>
  </si>
  <si>
    <t>TC-IVE-018</t>
  </si>
  <si>
    <t>Special characters - Servings/quantity field</t>
  </si>
  <si>
    <t>Enter symbols such as @#$%^&amp;*() in the servings/quantity field</t>
  </si>
  <si>
    <t>TC-IVE-019</t>
  </si>
  <si>
    <t>HTML/script tag injection - Servings/quantity field</t>
  </si>
  <si>
    <t>Enter '&lt;script&gt;alert(1)&lt;/script&gt;' in the servings/quantity field</t>
  </si>
  <si>
    <t>TC-IVE-020</t>
  </si>
  <si>
    <t>SQL injection pattern - Servings/quantity field</t>
  </si>
  <si>
    <t>Enter "' OR '1'='1" in the servings/quantity field</t>
  </si>
  <si>
    <t>TC-IVE-021</t>
  </si>
  <si>
    <t>Very long string (250+ chars) - Servings/quantity field</t>
  </si>
  <si>
    <t>Enter a string of 250+ characters in the servings/quantity field</t>
  </si>
  <si>
    <t>TC-IVE-022</t>
  </si>
  <si>
    <t>Numeric-only input - Servings/quantity field</t>
  </si>
  <si>
    <t>Enter only digits (e.g., '12345') in the servings/quantity field</t>
  </si>
  <si>
    <t>TC-IVE-023</t>
  </si>
  <si>
    <t>Emoji input - Servings/quantity field</t>
  </si>
  <si>
    <t>Enter an emoji (e.g., 🍅 tomato emoji) in the servings/quantity field</t>
  </si>
  <si>
    <t>TC-IVE-024</t>
  </si>
  <si>
    <t>Non-English characters - Servings/quantity field</t>
  </si>
  <si>
    <r>
      <rPr>
        <sz val="10"/>
        <rFont val="Arial"/>
        <charset val="1"/>
      </rPr>
      <t>Enter non-Latin script (e.g., '</t>
    </r>
    <r>
      <rPr>
        <sz val="10"/>
        <rFont val="Noto Sans CJK SC"/>
        <family val="2"/>
      </rPr>
      <t>香菜</t>
    </r>
    <r>
      <rPr>
        <sz val="10"/>
        <rFont val="Arial"/>
        <charset val="1"/>
      </rPr>
      <t>', '</t>
    </r>
    <r>
      <rPr>
        <sz val="10"/>
        <rFont val="Noto Sans CJK SC"/>
        <family val="2"/>
      </rPr>
      <t>샨러드</t>
    </r>
    <r>
      <rPr>
        <sz val="10"/>
        <rFont val="Arial"/>
        <charset val="1"/>
      </rPr>
      <t>') in the servings/quantity field</t>
    </r>
  </si>
  <si>
    <t>TC-IVE-025</t>
  </si>
  <si>
    <t>Accented characters - Servings/quantity field</t>
  </si>
  <si>
    <t>Enter accented text (e.g., 'jalapeño', 'café') in the servings/quantity field</t>
  </si>
  <si>
    <t>TC-IVE-026</t>
  </si>
  <si>
    <t>Non-food nonsense words - Servings/quantity field</t>
  </si>
  <si>
    <t>Enter clearly non-food terms (e.g., 'rocks', 'plastic') in the servings/quantity field</t>
  </si>
  <si>
    <t>TC-IVE-027</t>
  </si>
  <si>
    <t>Line break / newline in input - Servings/quantity field</t>
  </si>
  <si>
    <t>Paste text containing a newline character in the servings/quantity field</t>
  </si>
  <si>
    <t>TC-IVE-028</t>
  </si>
  <si>
    <t>Repeated single character spam - Servings/quantity field</t>
  </si>
  <si>
    <t>Enter 'aaaaaaaaaaaaaaaaaaaa' in the servings/quantity field</t>
  </si>
  <si>
    <t>TC-IVE-029</t>
  </si>
  <si>
    <t>Empty submission - Dietary preference search box</t>
  </si>
  <si>
    <t>Leave field empty and submit/generate in the dietary preference search box</t>
  </si>
  <si>
    <t>TC-IVE-030</t>
  </si>
  <si>
    <t>Whitespace-only input - Dietary preference search box</t>
  </si>
  <si>
    <t>Enter only spaces (e.g., '   ') and submit in the dietary preference search box</t>
  </si>
  <si>
    <t>TC-IVE-031</t>
  </si>
  <si>
    <t>Leading/trailing whitespace - Dietary preference search box</t>
  </si>
  <si>
    <t>Enter '  tomato  ' with extra spaces in the dietary preference search box</t>
  </si>
  <si>
    <t>TC-IVE-032</t>
  </si>
  <si>
    <t>Special characters - Dietary preference search box</t>
  </si>
  <si>
    <t>Enter symbols such as @#$%^&amp;*() in the dietary preference search box</t>
  </si>
  <si>
    <t>TC-IVE-033</t>
  </si>
  <si>
    <t>HTML/script tag injection - Dietary preference search box</t>
  </si>
  <si>
    <t>Enter '&lt;script&gt;alert(1)&lt;/script&gt;' in the dietary preference search box</t>
  </si>
  <si>
    <t>TC-IVE-034</t>
  </si>
  <si>
    <t>SQL injection pattern - Dietary preference search box</t>
  </si>
  <si>
    <t>Enter "' OR '1'='1" in the dietary preference search box</t>
  </si>
  <si>
    <t>TC-IVE-035</t>
  </si>
  <si>
    <t>Very long string (250+ chars) - Dietary preference search box</t>
  </si>
  <si>
    <t>Enter a string of 250+ characters in the dietary preference search box</t>
  </si>
  <si>
    <t>TC-IVE-036</t>
  </si>
  <si>
    <t>Numeric-only input - Dietary preference search box</t>
  </si>
  <si>
    <t>Enter only digits (e.g., '12345') in the dietary preference search box</t>
  </si>
  <si>
    <t>TC-IVE-037</t>
  </si>
  <si>
    <t>Emoji input - Dietary preference search box</t>
  </si>
  <si>
    <t>Enter an emoji (e.g., 🍅 tomato emoji) in the dietary preference search box</t>
  </si>
  <si>
    <t>TC-IVE-038</t>
  </si>
  <si>
    <t>Non-English characters - Dietary preference search box</t>
  </si>
  <si>
    <r>
      <rPr>
        <sz val="10"/>
        <rFont val="Arial"/>
        <charset val="1"/>
      </rPr>
      <t>Enter non-Latin script (e.g., '</t>
    </r>
    <r>
      <rPr>
        <sz val="10"/>
        <rFont val="Noto Sans CJK SC"/>
        <family val="2"/>
      </rPr>
      <t>香菜</t>
    </r>
    <r>
      <rPr>
        <sz val="10"/>
        <rFont val="Arial"/>
        <charset val="1"/>
      </rPr>
      <t>', '</t>
    </r>
    <r>
      <rPr>
        <sz val="10"/>
        <rFont val="Noto Sans CJK SC"/>
        <family val="2"/>
      </rPr>
      <t>샨러드</t>
    </r>
    <r>
      <rPr>
        <sz val="10"/>
        <rFont val="Arial"/>
        <charset val="1"/>
      </rPr>
      <t>') in the dietary preference search box</t>
    </r>
  </si>
  <si>
    <t>TC-IVE-039</t>
  </si>
  <si>
    <t>Accented characters - Dietary preference search box</t>
  </si>
  <si>
    <t>Enter accented text (e.g., 'jalapeño', 'café') in the dietary preference search box</t>
  </si>
  <si>
    <t>TC-IVE-040</t>
  </si>
  <si>
    <t>Non-food nonsense words - Dietary preference search box</t>
  </si>
  <si>
    <t>Enter clearly non-food terms (e.g., 'rocks', 'plastic') in the dietary preference search box</t>
  </si>
  <si>
    <t>TC-IVE-041</t>
  </si>
  <si>
    <t>Line break / newline in input - Dietary preference search box</t>
  </si>
  <si>
    <t>Paste text containing a newline character in the dietary preference search box</t>
  </si>
  <si>
    <t>TC-IVE-042</t>
  </si>
  <si>
    <t>Repeated single character spam - Dietary preference search box</t>
  </si>
  <si>
    <t>Enter 'aaaaaaaaaaaaaaaaaaaa' in the dietary preference search box</t>
  </si>
  <si>
    <t>Recipe Generation Output</t>
  </si>
  <si>
    <t>TC-RGO-001</t>
  </si>
  <si>
    <t>Recipe generates from valid ingredients</t>
  </si>
  <si>
    <t>Add 'chicken, rice, garlic'; click Generate Recipe</t>
  </si>
  <si>
    <t>Loading indicator shows, then a complete recipe (title, ingredients, steps) appears</t>
  </si>
  <si>
    <t>TC-RGO-002</t>
  </si>
  <si>
    <t>Generated recipe title displayed</t>
  </si>
  <si>
    <t>Generate a recipe</t>
  </si>
  <si>
    <t>Recipe has a clear, relevant title</t>
  </si>
  <si>
    <t>TC-RGO-003</t>
  </si>
  <si>
    <t>Generated recipe ingredient list matches inputs</t>
  </si>
  <si>
    <t>Compare generated recipe ingredients to submitted list</t>
  </si>
  <si>
    <t>A recipe has been successfully generated</t>
  </si>
  <si>
    <t>Submitted ingredients are meaningfully incorporated into the recipe</t>
  </si>
  <si>
    <t>TC-RGO-004</t>
  </si>
  <si>
    <t>Generated recipe includes step-by-step instructions</t>
  </si>
  <si>
    <t>Review the recipe output</t>
  </si>
  <si>
    <t>Numbered, sequential cooking instructions are present and coherent</t>
  </si>
  <si>
    <t>TC-RGO-005</t>
  </si>
  <si>
    <t>Generated recipe includes quantities/measurements</t>
  </si>
  <si>
    <t>Review ingredient list in recipe output</t>
  </si>
  <si>
    <t>Ingredient quantities and units are specified (e.g., '2 cups')</t>
  </si>
  <si>
    <t>TC-RGO-006</t>
  </si>
  <si>
    <t>Generated recipe includes cook/prep time</t>
  </si>
  <si>
    <t>Review recipe output metadata</t>
  </si>
  <si>
    <t>Prep time and/or cook time is displayed if supported</t>
  </si>
  <si>
    <t>TC-RGO-007</t>
  </si>
  <si>
    <t>Generated recipe includes serving size</t>
  </si>
  <si>
    <t>Serving size is shown and reasonable for the ingredients given</t>
  </si>
  <si>
    <t>TC-RGO-008</t>
  </si>
  <si>
    <t>Recipe generation loading state shown</t>
  </si>
  <si>
    <t>Click Generate Recipe and observe UI during processing</t>
  </si>
  <si>
    <t>A spinner/skeleton/loading message is shown while waiting</t>
  </si>
  <si>
    <t>TC-RGO-009</t>
  </si>
  <si>
    <t>Recipe generation completes within SLA</t>
  </si>
  <si>
    <t>Time the generation from click to result display</t>
  </si>
  <si>
    <t>Recipe returns within an acceptable time (e.g., under 15-20 seconds)</t>
  </si>
  <si>
    <t>TC-RGO-010</t>
  </si>
  <si>
    <t>Regenerate produces a different recipe</t>
  </si>
  <si>
    <t>Click 'Regenerate' or 'Try Again' after first result</t>
  </si>
  <si>
    <t>A new/different recipe is generated using the same ingredients</t>
  </si>
  <si>
    <t>TC-RGO-011</t>
  </si>
  <si>
    <t>Recipe generation with minimal ingredients (1 item)</t>
  </si>
  <si>
    <t>Add only 'egg'; generate</t>
  </si>
  <si>
    <t>A sensible recipe using egg as the primary ingredient is returned</t>
  </si>
  <si>
    <t>TC-RGO-012</t>
  </si>
  <si>
    <t>Recipe generation with large ingredient list (15+)</t>
  </si>
  <si>
    <t>Add 15+ diverse ingredients; generate</t>
  </si>
  <si>
    <t>A coherent recipe is generated without timing out or erroring</t>
  </si>
  <si>
    <t>TC-RGO-013</t>
  </si>
  <si>
    <t>Recipe generation failure shows error message</t>
  </si>
  <si>
    <t>Simulate network failure (DevTools offline) during generation</t>
  </si>
  <si>
    <t>A clear error message is shown; app does not hang indefinitely</t>
  </si>
  <si>
    <t>TC-RGO-014</t>
  </si>
  <si>
    <t>Recipe generation timeout handling</t>
  </si>
  <si>
    <t>Throttle network to very slow (e.g., Slow 3G) during generation</t>
  </si>
  <si>
    <t>App shows a timeout message or continues waiting with clear feedback</t>
  </si>
  <si>
    <t>TC-RGO-015</t>
  </si>
  <si>
    <t>Repeated rapid generation requests</t>
  </si>
  <si>
    <t>Click Generate Recipe multiple times quickly</t>
  </si>
  <si>
    <t>Button is disabled while loading or requests are queued, no duplicate results/crash</t>
  </si>
  <si>
    <t>TC-RGO-016</t>
  </si>
  <si>
    <t>Recipe text has no placeholder/lorem ipsum leftover</t>
  </si>
  <si>
    <t>Inspect all recipe output text</t>
  </si>
  <si>
    <t>No debug text, lorem ipsum, or template placeholders appear</t>
  </si>
  <si>
    <t>TC-RGO-017</t>
  </si>
  <si>
    <t>Recipe output has no profanity/inappropriate content</t>
  </si>
  <si>
    <t>Generate multiple recipes with varied ingredient sets</t>
  </si>
  <si>
    <t>Output is appropriate, food-safe, and free of offensive content</t>
  </si>
  <si>
    <t>TC-RGO-018</t>
  </si>
  <si>
    <t>Recipe output food-safety sanity check</t>
  </si>
  <si>
    <t>Generate recipes with raw meat/poultry ingredients</t>
  </si>
  <si>
    <t>Instructions include safe cooking temps/times where relevant, not raw-consumption suggestions</t>
  </si>
  <si>
    <t>TC-RGO-019</t>
  </si>
  <si>
    <t>Recipe generation with conflicting ingredients</t>
  </si>
  <si>
    <t>Add unusual combos (e.g., 'chocolate, fish sauce, ice cream')</t>
  </si>
  <si>
    <t>App produces a best-effort recipe or a clear message that ingredients don't combine well</t>
  </si>
  <si>
    <t>TC-RGO-020</t>
  </si>
  <si>
    <t>Recipe generation with allergen-heavy ingredients</t>
  </si>
  <si>
    <t>Add 'peanuts, shellfish, milk'</t>
  </si>
  <si>
    <t>Recipe is generated; no misleading allergen-safety claims are made</t>
  </si>
  <si>
    <t>TC-RGO-021</t>
  </si>
  <si>
    <t>Recipe output scrolling/pagination for long recipes</t>
  </si>
  <si>
    <t>Generate a recipe with many steps/ingredients</t>
  </si>
  <si>
    <t>Long recipe content scrolls cleanly or paginates without cut-off text</t>
  </si>
  <si>
    <t>TC-RGO-022</t>
  </si>
  <si>
    <t>Recipe generation consistency across repeated identical inputs</t>
  </si>
  <si>
    <t>Submit the exact same ingredient list twice in separate sessions</t>
  </si>
  <si>
    <t>Both attempts produce valid, coherent (not necessarily identical) recipes</t>
  </si>
  <si>
    <t>TC-RGO-023</t>
  </si>
  <si>
    <t>Recipe output units toggle (metric/imperial)</t>
  </si>
  <si>
    <t>Toggle unit system if available on a generated recipe</t>
  </si>
  <si>
    <t>Quantities convert correctly between metric and imperial</t>
  </si>
  <si>
    <t>TC-RGO-024</t>
  </si>
  <si>
    <t>Recipe nutrition info displayed (if supported)</t>
  </si>
  <si>
    <t>Review recipe output for calorie/nutrition data</t>
  </si>
  <si>
    <t>Nutrition estimates are shown and formatted clearly, if feature exists</t>
  </si>
  <si>
    <t>TC-RGO-025</t>
  </si>
  <si>
    <t>Back navigation preserves generated recipe</t>
  </si>
  <si>
    <t>Generate recipe, navigate away, click browser Back</t>
  </si>
  <si>
    <t>Previously generated recipe is still visible or easily reloadable</t>
  </si>
  <si>
    <t>TC-RGO-026</t>
  </si>
  <si>
    <t>Recipe output readable font size on all devices</t>
  </si>
  <si>
    <t>View generated recipe on mobile, tablet, desktop</t>
  </si>
  <si>
    <t>Text is legible without zooming on all screen sizes</t>
  </si>
  <si>
    <t>TC-RGO-027</t>
  </si>
  <si>
    <t>Generate with only dietary-restricted ingredients (vegan set)</t>
  </si>
  <si>
    <t>Add 'tofu, kale, chickpeas'; generate</t>
  </si>
  <si>
    <t>A coherent vegan-friendly recipe is generated</t>
  </si>
  <si>
    <t>TC-RGO-028</t>
  </si>
  <si>
    <t>Generate with only baking ingredients</t>
  </si>
  <si>
    <t>Add 'flour, sugar, butter, eggs'; generate</t>
  </si>
  <si>
    <t>A relevant baked-goods recipe is generated</t>
  </si>
  <si>
    <t>TC-RGO-029</t>
  </si>
  <si>
    <t>Generate with leftover/random fridge items</t>
  </si>
  <si>
    <t>Add 'half an onion, leftover rice, one egg'; generate</t>
  </si>
  <si>
    <t>App handles informal ingredient descriptions and returns a usable recipe</t>
  </si>
  <si>
    <t>TC-RGO-030</t>
  </si>
  <si>
    <t>Recipe card visually distinct from input section</t>
  </si>
  <si>
    <t>Generate a recipe and review overall page layout</t>
  </si>
  <si>
    <t>Clear visual separation between input area and results area</t>
  </si>
  <si>
    <t>Recipe Detail Interactions</t>
  </si>
  <si>
    <t>TC-RDI-001</t>
  </si>
  <si>
    <t>Save/bookmark a recipe</t>
  </si>
  <si>
    <t>Click Save/Bookmark icon on a generated recipe</t>
  </si>
  <si>
    <t>Recipe is saved to favorites/history if feature exists</t>
  </si>
  <si>
    <t>TC-RDI-002</t>
  </si>
  <si>
    <t>Share recipe via link</t>
  </si>
  <si>
    <t>Click Share button on a generated recipe</t>
  </si>
  <si>
    <t>A shareable link or share sheet is generated correctly</t>
  </si>
  <si>
    <t>TC-RDI-003</t>
  </si>
  <si>
    <t>Copy recipe text to clipboard</t>
  </si>
  <si>
    <t>Click Copy button (if present)</t>
  </si>
  <si>
    <t>Full recipe text is copied accurately to clipboard</t>
  </si>
  <si>
    <t>TC-RDI-004</t>
  </si>
  <si>
    <t>Print recipe</t>
  </si>
  <si>
    <t>Click Print button on a generated recipe</t>
  </si>
  <si>
    <t>Browser print dialog opens with a clean, formatted recipe layout</t>
  </si>
  <si>
    <t>TC-RDI-005</t>
  </si>
  <si>
    <t>Download recipe as PDF (if supported)</t>
  </si>
  <si>
    <t>Click Download/Export PDF</t>
  </si>
  <si>
    <t>A correctly formatted PDF is downloaded</t>
  </si>
  <si>
    <t>TC-RDI-006</t>
  </si>
  <si>
    <t>Scale recipe servings up</t>
  </si>
  <si>
    <t>Increase servings count from default (e.g., 4 to 8)</t>
  </si>
  <si>
    <t>Ingredient quantities scale proportionally and correctly</t>
  </si>
  <si>
    <t>TC-RDI-007</t>
  </si>
  <si>
    <t>Scale recipe servings down</t>
  </si>
  <si>
    <t>Decrease servings count (e.g., 4 to 1)</t>
  </si>
  <si>
    <t>Ingredient quantities scale down proportionally, no negative/zero errors</t>
  </si>
  <si>
    <t>TC-RDI-008</t>
  </si>
  <si>
    <t>Scale servings to extreme value (e.g., 100)</t>
  </si>
  <si>
    <t>Set servings to a very high number</t>
  </si>
  <si>
    <t>App handles gracefully - scales correctly or caps at a sensible maximum</t>
  </si>
  <si>
    <t>TC-RDI-009</t>
  </si>
  <si>
    <t>Rate a recipe (if supported)</t>
  </si>
  <si>
    <t>Click star rating or thumbs up/down on recipe</t>
  </si>
  <si>
    <t>Rating is recorded and reflected in UI</t>
  </si>
  <si>
    <t>TC-RDI-010</t>
  </si>
  <si>
    <t>Leave feedback/comment on a recipe</t>
  </si>
  <si>
    <t>Use feedback field if present</t>
  </si>
  <si>
    <t>Feedback is submitted successfully with confirmation</t>
  </si>
  <si>
    <t>TC-RDI-011</t>
  </si>
  <si>
    <t>Mark recipe as cooked/completed</t>
  </si>
  <si>
    <t>Click 'Mark as cooked' or similar control</t>
  </si>
  <si>
    <t>Status updates and persists (e.g., in history) if feature exists</t>
  </si>
  <si>
    <t>TC-RDI-012</t>
  </si>
  <si>
    <t>View recipe in full-screen/cook mode</t>
  </si>
  <si>
    <t>Click 'Cook Mode' or full-screen icon</t>
  </si>
  <si>
    <t>Distraction-free view displays large, readable steps</t>
  </si>
  <si>
    <t>TC-RDI-013</t>
  </si>
  <si>
    <t>Navigate between recipe steps in cook mode</t>
  </si>
  <si>
    <t>Use Next/Previous controls in cook mode</t>
  </si>
  <si>
    <t>Steps advance/retreat correctly and track progress</t>
  </si>
  <si>
    <t>TC-RDI-014</t>
  </si>
  <si>
    <t>Add generated recipe ingredients to shopping list</t>
  </si>
  <si>
    <t>Click 'Add to shopping list' (if present)</t>
  </si>
  <si>
    <t>Ingredients are added to a shopping list feature correctly</t>
  </si>
  <si>
    <t>TC-RDI-015</t>
  </si>
  <si>
    <t>Swap/substitute an ingredient in generated recipe</t>
  </si>
  <si>
    <t>Click substitute option on an ingredient (if supported)</t>
  </si>
  <si>
    <t>A reasonable substitute is suggested and recipe updates accordingly</t>
  </si>
  <si>
    <t>TC-RDI-016</t>
  </si>
  <si>
    <t>Generate a new recipe without losing previous one</t>
  </si>
  <si>
    <t>Add new ingredients and generate again after first recipe exists</t>
  </si>
  <si>
    <t>Previous recipe is archived/accessible or clearly replaced with user awareness</t>
  </si>
  <si>
    <t>TC-RDI-017</t>
  </si>
  <si>
    <t>View recipe history/past generations</t>
  </si>
  <si>
    <t>Navigate to History or My Recipes section (if present)</t>
  </si>
  <si>
    <t>Previously generated recipes are listed and retrievable</t>
  </si>
  <si>
    <t>TC-RDI-018</t>
  </si>
  <si>
    <t>Delete a saved recipe</t>
  </si>
  <si>
    <t>Remove a recipe from saved/history list</t>
  </si>
  <si>
    <t>Recipe is deleted and no longer appears in the list</t>
  </si>
  <si>
    <t>TC-RDI-019</t>
  </si>
  <si>
    <t>Recipe image/illustration displays (if applicable)</t>
  </si>
  <si>
    <t>Generate a recipe and check for an associated image</t>
  </si>
  <si>
    <t>Relevant image loads correctly or a sensible placeholder is shown</t>
  </si>
  <si>
    <t>TC-RDI-020</t>
  </si>
  <si>
    <t>Recipe difficulty level indicator</t>
  </si>
  <si>
    <t>Review recipe output for a difficulty tag (Easy/Medium/Hard)</t>
  </si>
  <si>
    <t>Difficulty level is displayed and reasonably accurate</t>
  </si>
  <si>
    <t>Responsive Design</t>
  </si>
  <si>
    <t>TC-RD-001</t>
  </si>
  <si>
    <t>Homepage layout at Mobile - 360x640 (small Android)</t>
  </si>
  <si>
    <t>Set viewport to Mobile - 360x640 (small Android); Load the homepage</t>
  </si>
  <si>
    <t>Header, input field, and CTA are fully visible with no horizontal scroll or overlap</t>
  </si>
  <si>
    <t>TC-RD-002</t>
  </si>
  <si>
    <t>Ingredient input &amp; add flow at Mobile - 360x640 (small Android)</t>
  </si>
  <si>
    <t>Set viewport to Mobile - 360x640 (small Android); Add 2-3 ingredients</t>
  </si>
  <si>
    <t>Input field and ingredient chips remain usable and legible</t>
  </si>
  <si>
    <t>TC-RD-003</t>
  </si>
  <si>
    <t>Recipe generation &amp; output display at Mobile - 360x640 (small Android)</t>
  </si>
  <si>
    <t>Set viewport to Mobile - 360x640 (small Android); Generate a recipe</t>
  </si>
  <si>
    <t>Recipe title, ingredients, and steps render cleanly without overflow</t>
  </si>
  <si>
    <t>TC-RD-004</t>
  </si>
  <si>
    <t>Navigation menu at Mobile - 360x640 (small Android)</t>
  </si>
  <si>
    <t>Set viewport to Mobile - 360x640 (small Android); Open the navigation/hamburger menu (if present)</t>
  </si>
  <si>
    <t>Menu opens correctly and all links are tappable</t>
  </si>
  <si>
    <t>TC-RD-005</t>
  </si>
  <si>
    <t>Homepage layout at Mobile - 390x844 (iPhone 12/13/14)</t>
  </si>
  <si>
    <t>Set viewport to Mobile - 390x844 (iPhone 12/13/14); Load the homepage</t>
  </si>
  <si>
    <t>TC-RD-006</t>
  </si>
  <si>
    <t>Ingredient input &amp; add flow at Mobile - 390x844 (iPhone 12/13/14)</t>
  </si>
  <si>
    <t>Set viewport to Mobile - 390x844 (iPhone 12/13/14); Add 2-3 ingredients</t>
  </si>
  <si>
    <t>TC-RD-007</t>
  </si>
  <si>
    <t>Recipe generation &amp; output display at Mobile - 390x844 (iPhone 12/13/14)</t>
  </si>
  <si>
    <t>Set viewport to Mobile - 390x844 (iPhone 12/13/14); Generate a recipe</t>
  </si>
  <si>
    <t>TC-RD-008</t>
  </si>
  <si>
    <t>Navigation menu at Mobile - 390x844 (iPhone 12/13/14)</t>
  </si>
  <si>
    <t>Set viewport to Mobile - 390x844 (iPhone 12/13/14); Open the navigation/hamburger menu (if present)</t>
  </si>
  <si>
    <t>TC-RD-009</t>
  </si>
  <si>
    <t>Homepage layout at Mobile - 428x926 (iPhone Pro Max)</t>
  </si>
  <si>
    <t>Set viewport to Mobile - 428x926 (iPhone Pro Max); Load the homepage</t>
  </si>
  <si>
    <t>TC-RD-010</t>
  </si>
  <si>
    <t>Ingredient input &amp; add flow at Mobile - 428x926 (iPhone Pro Max)</t>
  </si>
  <si>
    <t>Set viewport to Mobile - 428x926 (iPhone Pro Max); Add 2-3 ingredients</t>
  </si>
  <si>
    <t>TC-RD-011</t>
  </si>
  <si>
    <t>Recipe generation &amp; output display at Mobile - 428x926 (iPhone Pro Max)</t>
  </si>
  <si>
    <t>Set viewport to Mobile - 428x926 (iPhone Pro Max); Generate a recipe</t>
  </si>
  <si>
    <t>TC-RD-012</t>
  </si>
  <si>
    <t>Navigation menu at Mobile - 428x926 (iPhone Pro Max)</t>
  </si>
  <si>
    <t>Set viewport to Mobile - 428x926 (iPhone Pro Max); Open the navigation/hamburger menu (if present)</t>
  </si>
  <si>
    <t>TC-RD-013</t>
  </si>
  <si>
    <t>Homepage layout at Tablet - 768x1024 (iPad portrait)</t>
  </si>
  <si>
    <t>Set viewport to Tablet - 768x1024 (iPad portrait); Load the homepage</t>
  </si>
  <si>
    <t>TC-RD-014</t>
  </si>
  <si>
    <t>Ingredient input &amp; add flow at Tablet - 768x1024 (iPad portrait)</t>
  </si>
  <si>
    <t>Set viewport to Tablet - 768x1024 (iPad portrait); Add 2-3 ingredients</t>
  </si>
  <si>
    <t>TC-RD-015</t>
  </si>
  <si>
    <t>Recipe generation &amp; output display at Tablet - 768x1024 (iPad portrait)</t>
  </si>
  <si>
    <t>Set viewport to Tablet - 768x1024 (iPad portrait); Generate a recipe</t>
  </si>
  <si>
    <t>TC-RD-016</t>
  </si>
  <si>
    <t>Navigation menu at Tablet - 768x1024 (iPad portrait)</t>
  </si>
  <si>
    <t>Set viewport to Tablet - 768x1024 (iPad portrait); Open the navigation/hamburger menu (if present)</t>
  </si>
  <si>
    <t>TC-RD-017</t>
  </si>
  <si>
    <t>Homepage layout at Tablet - 1024x768 (iPad landscape)</t>
  </si>
  <si>
    <t>Set viewport to Tablet - 1024x768 (iPad landscape); Load the homepage</t>
  </si>
  <si>
    <t>TC-RD-018</t>
  </si>
  <si>
    <t>Ingredient input &amp; add flow at Tablet - 1024x768 (iPad landscape)</t>
  </si>
  <si>
    <t>Set viewport to Tablet - 1024x768 (iPad landscape); Add 2-3 ingredients</t>
  </si>
  <si>
    <t>TC-RD-019</t>
  </si>
  <si>
    <t>Recipe generation &amp; output display at Tablet - 1024x768 (iPad landscape)</t>
  </si>
  <si>
    <t>Set viewport to Tablet - 1024x768 (iPad landscape); Generate a recipe</t>
  </si>
  <si>
    <t>TC-RD-020</t>
  </si>
  <si>
    <t>Navigation menu at Tablet - 1024x768 (iPad landscape)</t>
  </si>
  <si>
    <t>Set viewport to Tablet - 1024x768 (iPad landscape); Open the navigation/hamburger menu (if present)</t>
  </si>
  <si>
    <t>TC-RD-021</t>
  </si>
  <si>
    <t>Homepage layout at Laptop - 1366x768</t>
  </si>
  <si>
    <t>Set viewport to Laptop - 1366x768; Load the homepage</t>
  </si>
  <si>
    <t>TC-RD-022</t>
  </si>
  <si>
    <t>Ingredient input &amp; add flow at Laptop - 1366x768</t>
  </si>
  <si>
    <t>Set viewport to Laptop - 1366x768; Add 2-3 ingredients</t>
  </si>
  <si>
    <t>TC-RD-023</t>
  </si>
  <si>
    <t>Recipe generation &amp; output display at Laptop - 1366x768</t>
  </si>
  <si>
    <t>Set viewport to Laptop - 1366x768; Generate a recipe</t>
  </si>
  <si>
    <t>TC-RD-024</t>
  </si>
  <si>
    <t>Navigation menu at Laptop - 1366x768</t>
  </si>
  <si>
    <t>Set viewport to Laptop - 1366x768; Open the navigation/hamburger menu (if present)</t>
  </si>
  <si>
    <t>TC-RD-025</t>
  </si>
  <si>
    <t>Homepage layout at Desktop - 1920x1080</t>
  </si>
  <si>
    <t>Set viewport to Desktop - 1920x1080; Load the homepage</t>
  </si>
  <si>
    <t>TC-RD-026</t>
  </si>
  <si>
    <t>Ingredient input &amp; add flow at Desktop - 1920x1080</t>
  </si>
  <si>
    <t>Set viewport to Desktop - 1920x1080; Add 2-3 ingredients</t>
  </si>
  <si>
    <t>TC-RD-027</t>
  </si>
  <si>
    <t>Recipe generation &amp; output display at Desktop - 1920x1080</t>
  </si>
  <si>
    <t>Set viewport to Desktop - 1920x1080; Generate a recipe</t>
  </si>
  <si>
    <t>TC-RD-028</t>
  </si>
  <si>
    <t>Navigation menu at Desktop - 1920x1080</t>
  </si>
  <si>
    <t>Set viewport to Desktop - 1920x1080; Open the navigation/hamburger menu (if present)</t>
  </si>
  <si>
    <t>Cross-Browser Compatibility</t>
  </si>
  <si>
    <t>TC-CBC-001</t>
  </si>
  <si>
    <t>Page load and layout rendering in Google Chrome (latest)</t>
  </si>
  <si>
    <t>Load homepage and inspect layout</t>
  </si>
  <si>
    <t>Layout renders identically to design with no visual defects</t>
  </si>
  <si>
    <t>TC-CBC-002</t>
  </si>
  <si>
    <t>Ingredient add/remove flow in Google Chrome (latest)</t>
  </si>
  <si>
    <t>Add and remove several ingredients</t>
  </si>
  <si>
    <t>Functionality works identically to Chrome baseline</t>
  </si>
  <si>
    <t>TC-CBC-003</t>
  </si>
  <si>
    <t>Recipe generation flow in Google Chrome (latest)</t>
  </si>
  <si>
    <t>Generate a recipe end to end</t>
  </si>
  <si>
    <t>Recipe generates correctly and displays properly formatted</t>
  </si>
  <si>
    <t>TC-CBC-004</t>
  </si>
  <si>
    <t>Responsive behavior on resize in Google Chrome (latest)</t>
  </si>
  <si>
    <t>Resize browser window from wide to narrow</t>
  </si>
  <si>
    <t>Layout reflows correctly without breaking</t>
  </si>
  <si>
    <t>TC-CBC-005</t>
  </si>
  <si>
    <t>Page load and layout rendering in Mozilla Firefox (latest)</t>
  </si>
  <si>
    <t>TC-CBC-006</t>
  </si>
  <si>
    <t>Ingredient add/remove flow in Mozilla Firefox (latest)</t>
  </si>
  <si>
    <t>TC-CBC-007</t>
  </si>
  <si>
    <t>Recipe generation flow in Mozilla Firefox (latest)</t>
  </si>
  <si>
    <t>TC-CBC-008</t>
  </si>
  <si>
    <t>Responsive behavior on resize in Mozilla Firefox (latest)</t>
  </si>
  <si>
    <t>TC-CBC-009</t>
  </si>
  <si>
    <t>Page load and layout rendering in Safari (latest, macOS)</t>
  </si>
  <si>
    <t>TC-CBC-010</t>
  </si>
  <si>
    <t>Ingredient add/remove flow in Safari (latest, macOS)</t>
  </si>
  <si>
    <t>TC-CBC-011</t>
  </si>
  <si>
    <t>Recipe generation flow in Safari (latest, macOS)</t>
  </si>
  <si>
    <t>TC-CBC-012</t>
  </si>
  <si>
    <t>Responsive behavior on resize in Safari (latest, macOS)</t>
  </si>
  <si>
    <t>TC-CBC-013</t>
  </si>
  <si>
    <t>Page load and layout rendering in Microsoft Edge (latest)</t>
  </si>
  <si>
    <t>TC-CBC-014</t>
  </si>
  <si>
    <t>Ingredient add/remove flow in Microsoft Edge (latest)</t>
  </si>
  <si>
    <t>TC-CBC-015</t>
  </si>
  <si>
    <t>Recipe generation flow in Microsoft Edge (latest)</t>
  </si>
  <si>
    <t>TC-CBC-016</t>
  </si>
  <si>
    <t>Responsive behavior on resize in Microsoft Edge (latest)</t>
  </si>
  <si>
    <t>TC-CBC-017</t>
  </si>
  <si>
    <t>Page load and layout rendering in Safari (latest, iOS)</t>
  </si>
  <si>
    <t>TC-CBC-018</t>
  </si>
  <si>
    <t>Ingredient add/remove flow in Safari (latest, iOS)</t>
  </si>
  <si>
    <t>TC-CBC-019</t>
  </si>
  <si>
    <t>Recipe generation flow in Safari (latest, iOS)</t>
  </si>
  <si>
    <t>TC-CBC-020</t>
  </si>
  <si>
    <t>Responsive behavior on resize in Safari (latest, iOS)</t>
  </si>
  <si>
    <t>TC-CBC-021</t>
  </si>
  <si>
    <t>Page load and layout rendering in Chrome (latest, Android)</t>
  </si>
  <si>
    <t>TC-CBC-022</t>
  </si>
  <si>
    <t>Ingredient add/remove flow in Chrome (latest, Android)</t>
  </si>
  <si>
    <t>TC-CBC-023</t>
  </si>
  <si>
    <t>Recipe generation flow in Chrome (latest, Android)</t>
  </si>
  <si>
    <t>TC-CBC-024</t>
  </si>
  <si>
    <t>Responsive behavior on resize in Chrome (latest, Android)</t>
  </si>
  <si>
    <t>Accessibility</t>
  </si>
  <si>
    <t>TC-A-001</t>
  </si>
  <si>
    <t>Keyboard-only operability - Ingredient input field</t>
  </si>
  <si>
    <t>Navigate and operate using only Tab/Shift+Tab/Enter/Space for the ingredient input field</t>
  </si>
  <si>
    <t>Element is fully reachable and operable via keyboard alone</t>
  </si>
  <si>
    <t>TC-A-002</t>
  </si>
  <si>
    <t>Visible focus indicator - Ingredient input field</t>
  </si>
  <si>
    <t>Tab to the element and observe focus styling for the ingredient input field</t>
  </si>
  <si>
    <t>A clear, visible focus outline/highlight is shown</t>
  </si>
  <si>
    <t>TC-A-003</t>
  </si>
  <si>
    <t>Screen reader label accuracy - Ingredient input field</t>
  </si>
  <si>
    <t>Navigate to the element using VoiceOver/NVDA for the ingredient input field</t>
  </si>
  <si>
    <t>Element is announced with an accurate, descriptive label/role</t>
  </si>
  <si>
    <t>TC-A-004</t>
  </si>
  <si>
    <t>Color contrast compliance - Ingredient input field</t>
  </si>
  <si>
    <t>Inspect text/background contrast ratio with a contrast checker for the ingredient input field</t>
  </si>
  <si>
    <t>Contrast meets WCAG AA (4.5:1 normal text, 3:1 large text)</t>
  </si>
  <si>
    <t>TC-A-005</t>
  </si>
  <si>
    <t>Behavior at 200% browser zoom - Ingredient input field</t>
  </si>
  <si>
    <t>Zoom browser to 200% and interact with the element for the ingredient input field</t>
  </si>
  <si>
    <t>Element remains usable and text does not overlap or clip</t>
  </si>
  <si>
    <t>TC-A-006</t>
  </si>
  <si>
    <t>Keyboard-only operability - Add/Generate buttons</t>
  </si>
  <si>
    <t>Navigate and operate using only Tab/Shift+Tab/Enter/Space for the add/generate buttons</t>
  </si>
  <si>
    <t>TC-A-007</t>
  </si>
  <si>
    <t>Visible focus indicator - Add/Generate buttons</t>
  </si>
  <si>
    <t>Tab to the element and observe focus styling for the add/generate buttons</t>
  </si>
  <si>
    <t>TC-A-008</t>
  </si>
  <si>
    <t>Screen reader label accuracy - Add/Generate buttons</t>
  </si>
  <si>
    <t>Navigate to the element using VoiceOver/NVDA for the add/generate buttons</t>
  </si>
  <si>
    <t>TC-A-009</t>
  </si>
  <si>
    <t>Color contrast compliance - Add/Generate buttons</t>
  </si>
  <si>
    <t>Inspect text/background contrast ratio with a contrast checker for the add/generate buttons</t>
  </si>
  <si>
    <t>TC-A-010</t>
  </si>
  <si>
    <t>Behavior at 200% browser zoom - Add/Generate buttons</t>
  </si>
  <si>
    <t>Zoom browser to 200% and interact with the element for the add/generate buttons</t>
  </si>
  <si>
    <t>TC-A-011</t>
  </si>
  <si>
    <t>Keyboard-only operability - Recipe result section</t>
  </si>
  <si>
    <t>Navigate and operate using only Tab/Shift+Tab/Enter/Space for the recipe result section</t>
  </si>
  <si>
    <t>TC-A-012</t>
  </si>
  <si>
    <t>Visible focus indicator - Recipe result section</t>
  </si>
  <si>
    <t>Tab to the element and observe focus styling for the recipe result section</t>
  </si>
  <si>
    <t>TC-A-013</t>
  </si>
  <si>
    <t>Screen reader label accuracy - Recipe result section</t>
  </si>
  <si>
    <t>Navigate to the element using VoiceOver/NVDA for the recipe result section</t>
  </si>
  <si>
    <t>TC-A-014</t>
  </si>
  <si>
    <t>Color contrast compliance - Recipe result section</t>
  </si>
  <si>
    <t>Inspect text/background contrast ratio with a contrast checker for the recipe result section</t>
  </si>
  <si>
    <t>TC-A-015</t>
  </si>
  <si>
    <t>Behavior at 200% browser zoom - Recipe result section</t>
  </si>
  <si>
    <t>Zoom browser to 200% and interact with the element for the recipe result section</t>
  </si>
  <si>
    <t>TC-A-016</t>
  </si>
  <si>
    <t>Keyboard-only operability - Navigation menu</t>
  </si>
  <si>
    <t>Navigate and operate using only Tab/Shift+Tab/Enter/Space for the navigation menu</t>
  </si>
  <si>
    <t>TC-A-017</t>
  </si>
  <si>
    <t>Visible focus indicator - Navigation menu</t>
  </si>
  <si>
    <t>Tab to the element and observe focus styling for the navigation menu</t>
  </si>
  <si>
    <t>TC-A-018</t>
  </si>
  <si>
    <t>Screen reader label accuracy - Navigation menu</t>
  </si>
  <si>
    <t>Navigate to the element using VoiceOver/NVDA for the navigation menu</t>
  </si>
  <si>
    <t>TC-A-019</t>
  </si>
  <si>
    <t>Color contrast compliance - Navigation menu</t>
  </si>
  <si>
    <t>Inspect text/background contrast ratio with a contrast checker for the navigation menu</t>
  </si>
  <si>
    <t>TC-A-020</t>
  </si>
  <si>
    <t>Behavior at 200% browser zoom - Navigation menu</t>
  </si>
  <si>
    <t>Zoom browser to 200% and interact with the element for the navigation menu</t>
  </si>
  <si>
    <t>TC-A-021</t>
  </si>
  <si>
    <t>Keyboard-only operability - Modal/dialog (if any)</t>
  </si>
  <si>
    <t>Navigate and operate using only Tab/Shift+Tab/Enter/Space for the modal/dialog (if any)</t>
  </si>
  <si>
    <t>TC-A-022</t>
  </si>
  <si>
    <t>Visible focus indicator - Modal/dialog (if any)</t>
  </si>
  <si>
    <t>Tab to the element and observe focus styling for the modal/dialog (if any)</t>
  </si>
  <si>
    <t>TC-A-023</t>
  </si>
  <si>
    <t>Screen reader label accuracy - Modal/dialog (if any)</t>
  </si>
  <si>
    <t>Navigate to the element using VoiceOver/NVDA for the modal/dialog (if any)</t>
  </si>
  <si>
    <t>TC-A-024</t>
  </si>
  <si>
    <t>Color contrast compliance - Modal/dialog (if any)</t>
  </si>
  <si>
    <t>Inspect text/background contrast ratio with a contrast checker for the modal/dialog (if any)</t>
  </si>
  <si>
    <t>TC-A-025</t>
  </si>
  <si>
    <t>Behavior at 200% browser zoom - Modal/dialog (if any)</t>
  </si>
  <si>
    <t>Zoom browser to 200% and interact with the element for the modal/dialog (if any)</t>
  </si>
  <si>
    <t>Security &amp; Privacy</t>
  </si>
  <si>
    <t>TC-SP-001</t>
  </si>
  <si>
    <t>Reflected XSS via ingredient input</t>
  </si>
  <si>
    <t>Submit '&lt;img src=x onerror=alert(1)&gt;' as an ingredient</t>
  </si>
  <si>
    <t>Payload is escaped/sanitized when rendered; no script executes</t>
  </si>
  <si>
    <t>TC-SP-002</t>
  </si>
  <si>
    <t>Stored XSS check on saved recipes</t>
  </si>
  <si>
    <t>Save a recipe generated from a payload-containing ingredient; reload page</t>
  </si>
  <si>
    <t>No script executes on reload; payload displayed as inert text</t>
  </si>
  <si>
    <t>TC-SP-003</t>
  </si>
  <si>
    <t>SQL injection attempt in input fields</t>
  </si>
  <si>
    <t>Submit common SQLi payloads in ingredient/search fields</t>
  </si>
  <si>
    <t>No database errors surface; input treated as plain text</t>
  </si>
  <si>
    <t>TC-SP-004</t>
  </si>
  <si>
    <t>CSRF protection on state-changing requests</t>
  </si>
  <si>
    <t>Inspect requests for CSRF tokens/SameSite cookies using DevTools</t>
  </si>
  <si>
    <t>Appropriate CSRF protections (tokens or SameSite cookies) are present</t>
  </si>
  <si>
    <t>TC-SP-005</t>
  </si>
  <si>
    <t>Clickjacking protection headers</t>
  </si>
  <si>
    <t>Inspect response headers for X-Frame-Options / CSP frame-ancestors</t>
  </si>
  <si>
    <t>Header present preventing the site from being framed maliciously</t>
  </si>
  <si>
    <t>TC-SP-006</t>
  </si>
  <si>
    <t>Content-Security-Policy header present</t>
  </si>
  <si>
    <t>Inspect response headers via DevTools Network tab</t>
  </si>
  <si>
    <t>A reasonably restrictive CSP header is set</t>
  </si>
  <si>
    <t>TC-SP-007</t>
  </si>
  <si>
    <t>No sensitive data in client-side source</t>
  </si>
  <si>
    <t>Inspect page source and JS bundles for API keys/secrets</t>
  </si>
  <si>
    <t>No API keys, tokens, or credentials are exposed client-side</t>
  </si>
  <si>
    <t>TC-SP-008</t>
  </si>
  <si>
    <t>Secure cookie flags set</t>
  </si>
  <si>
    <t>Inspect cookies in DevTools Application tab</t>
  </si>
  <si>
    <t>Cookies (if any) use Secure, HttpOnly, and SameSite attributes appropriately</t>
  </si>
  <si>
    <t>TC-SP-009</t>
  </si>
  <si>
    <t>HTTPS enforced on all sub-resources</t>
  </si>
  <si>
    <t>Inspect Network tab for any HTTP (non-secure) sub-resource requests</t>
  </si>
  <si>
    <t>All resources load over HTTPS; no mixed-content warnings</t>
  </si>
  <si>
    <t>TC-SP-010</t>
  </si>
  <si>
    <t>Rate limiting on recipe generation endpoint</t>
  </si>
  <si>
    <t>Send rapid repeated generation requests in a short window</t>
  </si>
  <si>
    <t>Excess requests are throttled/blocked with a clear message, not silently accepted forever</t>
  </si>
  <si>
    <t>TC-SP-011</t>
  </si>
  <si>
    <t>Input length limits enforced server-side</t>
  </si>
  <si>
    <t>Bypass client validation (e.g., via DevTools) and submit an oversized payload directly</t>
  </si>
  <si>
    <t>Server rejects oversized payload rather than trusting client-side checks alone</t>
  </si>
  <si>
    <t>TC-SP-012</t>
  </si>
  <si>
    <t>Open redirect check on external links</t>
  </si>
  <si>
    <t>Inspect any redirect-style links for manipulable destination parameters</t>
  </si>
  <si>
    <t>No open-redirect vulnerability is present</t>
  </si>
  <si>
    <t>TC-SP-013</t>
  </si>
  <si>
    <t>Third-party script integrity</t>
  </si>
  <si>
    <t>Inspect third-party scripts loaded (analytics, fonts, etc.)</t>
  </si>
  <si>
    <t>Scripts are loaded from trusted sources, ideally with Subresource Integrity</t>
  </si>
  <si>
    <t>TC-SP-014</t>
  </si>
  <si>
    <t>Privacy policy accessible</t>
  </si>
  <si>
    <t>Look for a Privacy Policy link in footer/menu</t>
  </si>
  <si>
    <t>Privacy Policy is present, accessible, and describes data handling</t>
  </si>
  <si>
    <t>TC-SP-015</t>
  </si>
  <si>
    <t>Terms of service accessible</t>
  </si>
  <si>
    <t>Look for Terms of Service link</t>
  </si>
  <si>
    <t>Terms of Service link is present and leads to valid content</t>
  </si>
  <si>
    <t>TC-SP-016</t>
  </si>
  <si>
    <t>Cookie consent banner (if applicable region)</t>
  </si>
  <si>
    <t>Load site from an EU-based location/VPN</t>
  </si>
  <si>
    <t>Cookie consent banner appears and choices are respected</t>
  </si>
  <si>
    <t>TC-SP-017</t>
  </si>
  <si>
    <t>No autofill of sensitive data into ingredient field</t>
  </si>
  <si>
    <t>Check browser autofill suggestions on ingredient input</t>
  </si>
  <si>
    <t>Browser does not suggest saved passwords/personal data inappropriately</t>
  </si>
  <si>
    <t>TC-SP-018</t>
  </si>
  <si>
    <t>API endpoints not directly browsable/exposed</t>
  </si>
  <si>
    <t>Attempt to access underlying API endpoints directly in browser</t>
  </si>
  <si>
    <t>Endpoints require proper requests/headers; no raw data dump accessible</t>
  </si>
  <si>
    <t>TC-SP-019</t>
  </si>
  <si>
    <t>Error messages do not leak stack traces</t>
  </si>
  <si>
    <t>Trigger a server error (e.g., malformed request)</t>
  </si>
  <si>
    <t>Generic user-facing error shown; no internal stack trace or file paths exposed</t>
  </si>
  <si>
    <t>TC-SP-020</t>
  </si>
  <si>
    <t>Denial-of-service via oversized ingredient list</t>
  </si>
  <si>
    <t>Submit an extremely large number of ingredients (100+) in one request</t>
  </si>
  <si>
    <t>Server handles or rejects gracefully without crashing or hanging</t>
  </si>
  <si>
    <t>Performance &amp; Load</t>
  </si>
  <si>
    <t>TC-PL-001</t>
  </si>
  <si>
    <t>Largest Contentful Paint (LCP) within budget</t>
  </si>
  <si>
    <t>Run Lighthouse audit on homepage</t>
  </si>
  <si>
    <t>LCP is under 2.5 seconds (Good threshold)</t>
  </si>
  <si>
    <t>TC-PL-002</t>
  </si>
  <si>
    <t>Cumulative Layout Shift (CLS) within budget</t>
  </si>
  <si>
    <t>CLS score is under 0.1 (Good threshold)</t>
  </si>
  <si>
    <t>TC-PL-003</t>
  </si>
  <si>
    <t>First Input Delay / Interaction to Next Paint</t>
  </si>
  <si>
    <t>Run Lighthouse audit and interact with page</t>
  </si>
  <si>
    <t>INP is under 200ms (Good threshold)</t>
  </si>
  <si>
    <t>TC-PL-004</t>
  </si>
  <si>
    <t>Time to Interactive on 4G</t>
  </si>
  <si>
    <t>Throttle network to Fast 4G; measure time to interactive</t>
  </si>
  <si>
    <t>Page becomes fully interactive within an acceptable time (under ~5s)</t>
  </si>
  <si>
    <t>TC-PL-005</t>
  </si>
  <si>
    <t>Time to Interactive on slow 3G</t>
  </si>
  <si>
    <t>Throttle network to Slow 3G; measure time to interactive</t>
  </si>
  <si>
    <t>Page remains usable with clear loading feedback, no indefinite hang</t>
  </si>
  <si>
    <t>TC-PL-006</t>
  </si>
  <si>
    <t>Image assets optimized</t>
  </si>
  <si>
    <t>Inspect image file sizes/formats in Network tab</t>
  </si>
  <si>
    <t>Images are appropriately compressed and served in modern formats (WebP/AVIF) where possible</t>
  </si>
  <si>
    <t>TC-PL-007</t>
  </si>
  <si>
    <t>JS/CSS bundle sizes reasonable</t>
  </si>
  <si>
    <t>Inspect total transferred JS/CSS size in Network tab</t>
  </si>
  <si>
    <t>Bundle sizes are optimized and do not cause excessive load time</t>
  </si>
  <si>
    <t>TC-PL-008</t>
  </si>
  <si>
    <t>Recipe generation response time under normal load</t>
  </si>
  <si>
    <t>Time 10 sequential recipe generations</t>
  </si>
  <si>
    <t>Average response time stays within acceptable SLA (e.g., under 15s)</t>
  </si>
  <si>
    <t>TC-PL-009</t>
  </si>
  <si>
    <t>Performance under 10 concurrent users</t>
  </si>
  <si>
    <t>Simulate 10 concurrent users generating recipes (load testing tool)</t>
  </si>
  <si>
    <t>All requests complete successfully without significant degradation</t>
  </si>
  <si>
    <t>TC-PL-010</t>
  </si>
  <si>
    <t>Performance under 100 concurrent users</t>
  </si>
  <si>
    <t>Simulate 100 concurrent users generating recipes</t>
  </si>
  <si>
    <t>System degrades gracefully (queues/scales) rather than failing outright</t>
  </si>
  <si>
    <t>TC-PL-011</t>
  </si>
  <si>
    <t>Sustained load over 30 minutes</t>
  </si>
  <si>
    <t>Run continuous load test for 30 minutes at moderate traffic</t>
  </si>
  <si>
    <t>No memory leaks, crashes, or increasing error rates over time</t>
  </si>
  <si>
    <t>TC-PL-012</t>
  </si>
  <si>
    <t>Browser memory usage over extended session</t>
  </si>
  <si>
    <t>Use the app continuously for 20+ minutes, generating multiple recipes</t>
  </si>
  <si>
    <t>Browser tab memory usage remains stable, no runaway growth</t>
  </si>
  <si>
    <t>TC-PL-013</t>
  </si>
  <si>
    <t>CPU usage on low-end device</t>
  </si>
  <si>
    <t>Use the app on a low-end/older Android device</t>
  </si>
  <si>
    <t>App remains responsive without excessive CPU throttling or lag</t>
  </si>
  <si>
    <t>TC-PL-014</t>
  </si>
  <si>
    <t>Recovery after spike load test</t>
  </si>
  <si>
    <t>Apply a sudden traffic spike then return to normal load</t>
  </si>
  <si>
    <t>System recovers to normal response times shortly after spike ends</t>
  </si>
  <si>
    <t>TC-PL-015</t>
  </si>
  <si>
    <t>Caching of static assets</t>
  </si>
  <si>
    <t>Reload homepage and inspect cache headers in Network tab</t>
  </si>
  <si>
    <t>Static assets (CSS/JS/images) are cached appropriately for repeat visits</t>
  </si>
  <si>
    <t>Error Handling &amp; Network Conditions</t>
  </si>
  <si>
    <t>TC-EHN-001</t>
  </si>
  <si>
    <t>App behavior when fully offline</t>
  </si>
  <si>
    <t>Enable Airplane mode / DevTools offline; attempt to use the app</t>
  </si>
  <si>
    <t>A clear offline message is shown; no blank screen or silent failure</t>
  </si>
  <si>
    <t>TC-EHN-002</t>
  </si>
  <si>
    <t>Recipe generation with intermittent connectivity</t>
  </si>
  <si>
    <t>Toggle network on/off during a generation request</t>
  </si>
  <si>
    <t>App detects failure and shows a retry option or clear error message</t>
  </si>
  <si>
    <t>TC-EHN-003</t>
  </si>
  <si>
    <t>API 500 error handling</t>
  </si>
  <si>
    <t>Simulate/mock a 500 server error response during generation</t>
  </si>
  <si>
    <t>User sees a friendly error message, not a raw error dump</t>
  </si>
  <si>
    <t>TC-EHN-004</t>
  </si>
  <si>
    <t>API 404 error handling</t>
  </si>
  <si>
    <t>Simulate a 404 response from an expected endpoint</t>
  </si>
  <si>
    <t>App handles gracefully with an appropriate message</t>
  </si>
  <si>
    <t>TC-EHN-005</t>
  </si>
  <si>
    <t>API 429 (rate limited) handling</t>
  </si>
  <si>
    <t>Simulate a 429 Too Many Requests response</t>
  </si>
  <si>
    <t>User is informed to slow down/retry later, not shown a generic crash</t>
  </si>
  <si>
    <t>TC-EHN-006</t>
  </si>
  <si>
    <t>Malformed JSON API response handling</t>
  </si>
  <si>
    <t>Mock an API response with invalid/malformed JSON</t>
  </si>
  <si>
    <t>App fails gracefully without crashing the page</t>
  </si>
  <si>
    <t>TC-EHN-007</t>
  </si>
  <si>
    <t>Empty API response handling</t>
  </si>
  <si>
    <t>Mock an API response with an empty body</t>
  </si>
  <si>
    <t>App shows a 'no recipe found' style message rather than a blank area</t>
  </si>
  <si>
    <t>TC-EHN-008</t>
  </si>
  <si>
    <t>Partial/truncated recipe response handling</t>
  </si>
  <si>
    <t>Mock a response cut off mid-recipe</t>
  </si>
  <si>
    <t>App either requests again or clearly indicates incomplete data</t>
  </si>
  <si>
    <t>TC-EHN-009</t>
  </si>
  <si>
    <t>404 page for invalid URL</t>
  </si>
  <si>
    <t>Navigate to a non-existent path (e.g., /nonexistent-page)</t>
  </si>
  <si>
    <t>A custom, user-friendly 404 page is shown with navigation back to home</t>
  </si>
  <si>
    <t>TC-EHN-010</t>
  </si>
  <si>
    <t>Browser refresh mid-generation</t>
  </si>
  <si>
    <t>Click Generate, then refresh the browser before it completes</t>
  </si>
  <si>
    <t>App reloads cleanly without a stuck loading state or duplicate submission</t>
  </si>
  <si>
    <t>TC-EHN-011</t>
  </si>
  <si>
    <t>Retry mechanism after failed generation</t>
  </si>
  <si>
    <t>Trigger a failed generation, then click Retry/Try Again</t>
  </si>
  <si>
    <t>Retry re-attempts the request and succeeds when connectivity is restored</t>
  </si>
  <si>
    <t>TC-EHN-012</t>
  </si>
  <si>
    <t>DNS/server unreachable scenario</t>
  </si>
  <si>
    <t>Simulate DNS failure or point to an unreachable host</t>
  </si>
  <si>
    <t>Browser/app shows a standard connectivity error without app-specific crash</t>
  </si>
  <si>
    <t>TC-EHN-013</t>
  </si>
  <si>
    <t>Slow API response with loading feedback</t>
  </si>
  <si>
    <t>Throttle API response time to 20+ seconds</t>
  </si>
  <si>
    <t>Loading indicator remains visible and informative throughout the wait</t>
  </si>
  <si>
    <t>TC-EHN-014</t>
  </si>
  <si>
    <t>Error message wording clarity</t>
  </si>
  <si>
    <t>Trigger any of the above error states</t>
  </si>
  <si>
    <t>Error messages are written in plain, non-technical, actionable language</t>
  </si>
  <si>
    <t>TC-EHN-015</t>
  </si>
  <si>
    <t>App recovers after error without full reload</t>
  </si>
  <si>
    <t>Trigger an error, resolve the cause, retry within the same session</t>
  </si>
  <si>
    <t>App recovers and functions normally without requiring a full page reload</t>
  </si>
  <si>
    <t>TC-EHN-016</t>
  </si>
  <si>
    <t>Multiple tabs open simultaneously</t>
  </si>
  <si>
    <t>Open the app in two browser tabs and use both</t>
  </si>
  <si>
    <t>Both tabs function independently without state conflicts or crashes</t>
  </si>
  <si>
    <t>TC-EHN-017</t>
  </si>
  <si>
    <t>Session behavior after long idle period</t>
  </si>
  <si>
    <t>Leave the app idle/inactive for 30+ minutes, then interact</t>
  </si>
  <si>
    <t>App remains functional or refreshes session gracefully, no stuck state</t>
  </si>
  <si>
    <t>TC-EHN-018</t>
  </si>
  <si>
    <t>Copy-paste large block of text into ingredient field</t>
  </si>
  <si>
    <t>Paste a large paragraph of unrelated text</t>
  </si>
  <si>
    <t>App handles gracefully - truncates, rejects, or parses without crashing</t>
  </si>
  <si>
    <t>TC-EHN-019</t>
  </si>
  <si>
    <t>Browser back/forward button during generation</t>
  </si>
  <si>
    <t>Click Generate, then use browser Back button before completion</t>
  </si>
  <si>
    <t>Navigating away cancels/ignores the pending request without error leakage</t>
  </si>
  <si>
    <t>TC-EHN-020</t>
  </si>
  <si>
    <t>Ad blocker / privacy extension compatibility</t>
  </si>
  <si>
    <t>Enable a common ad blocker (uBlock Origin) and use the app</t>
  </si>
  <si>
    <t>Core functionality is unaffected by common ad/privacy blockers</t>
  </si>
  <si>
    <t>Navigation &amp; Links</t>
  </si>
  <si>
    <t>TC-NL-001</t>
  </si>
  <si>
    <t>Logo click returns to homepage</t>
  </si>
  <si>
    <t>Click the site logo/name from any page</t>
  </si>
  <si>
    <t>User is navigated back to the homepage</t>
  </si>
  <si>
    <t>TC-NL-002</t>
  </si>
  <si>
    <t>Header navigation links work</t>
  </si>
  <si>
    <t>Click each link in the header/nav menu</t>
  </si>
  <si>
    <t>Each link navigates to the correct, working destination</t>
  </si>
  <si>
    <t>TC-NL-003</t>
  </si>
  <si>
    <t>Footer links work</t>
  </si>
  <si>
    <t>Click each link in the footer</t>
  </si>
  <si>
    <t>Each footer link navigates correctly, no 404s</t>
  </si>
  <si>
    <t>TC-NL-004</t>
  </si>
  <si>
    <t>External links open in new tab</t>
  </si>
  <si>
    <t>Click any external link (e.g., social media icons)</t>
  </si>
  <si>
    <t>External links open in a new tab, keeping the app open in the original</t>
  </si>
  <si>
    <t>TC-NL-005</t>
  </si>
  <si>
    <t>Social media icons link correctly</t>
  </si>
  <si>
    <t>Click each social icon in header/footer</t>
  </si>
  <si>
    <t>Each icon links to the correct, valid social profile</t>
  </si>
  <si>
    <t>TC-NL-006</t>
  </si>
  <si>
    <t>No broken links sitewide</t>
  </si>
  <si>
    <t>Crawl all pages using a link checker tool</t>
  </si>
  <si>
    <t>Zero broken (404/500) internal or external links found</t>
  </si>
  <si>
    <t>TC-NL-007</t>
  </si>
  <si>
    <t>Anchor/in-page scroll links work</t>
  </si>
  <si>
    <t>Click any in-page anchor link (e.g., 'How it works')</t>
  </si>
  <si>
    <t>Page scrolls smoothly to the correct section</t>
  </si>
  <si>
    <t>TC-NL-008</t>
  </si>
  <si>
    <t>Breadcrumb navigation (if present)</t>
  </si>
  <si>
    <t>Navigate to a sub-page and check breadcrumb trail</t>
  </si>
  <si>
    <t>Breadcrumbs accurately reflect navigation path and are clickable</t>
  </si>
  <si>
    <t>TC-NL-009</t>
  </si>
  <si>
    <t>Mobile hamburger menu opens/closes</t>
  </si>
  <si>
    <t>Tap hamburger icon to open, then tap again/outside to close</t>
  </si>
  <si>
    <t>Menu opens and closes smoothly with correct animation</t>
  </si>
  <si>
    <t>TC-NL-010</t>
  </si>
  <si>
    <t>Skip-to-content link for accessibility</t>
  </si>
  <si>
    <t>Tab immediately after page load</t>
  </si>
  <si>
    <t>A 'Skip to main content' link is available for keyboard/screen reader users</t>
  </si>
  <si>
    <t>TC-NL-011</t>
  </si>
  <si>
    <t>404 page provides way back to site</t>
  </si>
  <si>
    <t>Navigate to an invalid URL</t>
  </si>
  <si>
    <t>404 page includes a link/button back to the homepage</t>
  </si>
  <si>
    <t>TC-NL-012</t>
  </si>
  <si>
    <t>Contact/About page accessible</t>
  </si>
  <si>
    <t>Navigate to Contact or About page (if present)</t>
  </si>
  <si>
    <t>Page loads with accurate, up-to-date content</t>
  </si>
  <si>
    <t>TC-NL-013</t>
  </si>
  <si>
    <t>Browser tab title updates on navigation</t>
  </si>
  <si>
    <t>Navigate to a sub-page (e.g., a recipe detail view)</t>
  </si>
  <si>
    <t>Browser tab title updates to reflect the current page/content</t>
  </si>
  <si>
    <t>TC-NL-014</t>
  </si>
  <si>
    <t>Deep link to a specific shared recipe</t>
  </si>
  <si>
    <t>Open a previously shared recipe URL directly</t>
  </si>
  <si>
    <t>The specific recipe loads correctly from a direct URL</t>
  </si>
  <si>
    <t>TC-NL-015</t>
  </si>
  <si>
    <t>URL updates appropriately during app use</t>
  </si>
  <si>
    <t>Add ingredients and generate a recipe; observe address bar</t>
  </si>
  <si>
    <t>URL reflects meaningful state changes if the app uses client-side routing</t>
  </si>
  <si>
    <t>SEO &amp; Metadata</t>
  </si>
  <si>
    <t>TC-SM-001</t>
  </si>
  <si>
    <t>Canonical URL tag present</t>
  </si>
  <si>
    <t>View page source for rel=canonical tag</t>
  </si>
  <si>
    <t>Canonical tag correctly points to https://nomnom.qzz.io/</t>
  </si>
  <si>
    <t>TC-SM-002</t>
  </si>
  <si>
    <t>Heading hierarchy is logical (H1-H6)</t>
  </si>
  <si>
    <t>Inspect heading tags via DevTools/accessibility inspector</t>
  </si>
  <si>
    <t>Exactly one H1 exists; heading levels are not skipped illogically</t>
  </si>
  <si>
    <t>TC-SM-003</t>
  </si>
  <si>
    <t>Structured data / schema.org markup (Recipe schema)</t>
  </si>
  <si>
    <t>Inspect page source or use Google's Rich Results Test</t>
  </si>
  <si>
    <t>Recipe schema markup is present and valid if recipes are meant to be indexed</t>
  </si>
  <si>
    <t>TC-SM-004</t>
  </si>
  <si>
    <t>Sitemap.xml accessible</t>
  </si>
  <si>
    <t>Request /sitemap.xml</t>
  </si>
  <si>
    <t>A valid sitemap is returned listing key pages</t>
  </si>
  <si>
    <t>TC-SM-005</t>
  </si>
  <si>
    <t>robots.txt accessible and correctly configured</t>
  </si>
  <si>
    <t>Request /robots.txt</t>
  </si>
  <si>
    <t>robots.txt exists and does not block pages that should be indexed</t>
  </si>
  <si>
    <t>TC-SM-006</t>
  </si>
  <si>
    <t>Image alt attributes present sitewide</t>
  </si>
  <si>
    <t>Inspect all &lt;img&gt; tags for alt attributes</t>
  </si>
  <si>
    <t>All meaningful images have descriptive, non-empty alt text</t>
  </si>
  <si>
    <t>TC-SM-007</t>
  </si>
  <si>
    <t>Page load speed impacts Core Web Vitals positively</t>
  </si>
  <si>
    <t>Run PageSpeed Insights on homepage</t>
  </si>
  <si>
    <t>Core Web Vitals fall into 'Good' range</t>
  </si>
  <si>
    <t>TC-SM-008</t>
  </si>
  <si>
    <t>Mobile-friendliness per Google standards</t>
  </si>
  <si>
    <t>Run Google Mobile-Friendly Test on homepage</t>
  </si>
  <si>
    <t>Page passes as mobile-friendly with no usability issues flagged</t>
  </si>
  <si>
    <t>TC-SM-009</t>
  </si>
  <si>
    <t>Duplicate meta descriptions across pages</t>
  </si>
  <si>
    <t>Compare meta description across all indexed pages</t>
  </si>
  <si>
    <t>Each page has a unique, relevant meta description</t>
  </si>
  <si>
    <t>TC-SM-010</t>
  </si>
  <si>
    <t>Social share preview renders correctly</t>
  </si>
  <si>
    <t>Paste site URL into a social media share preview debugger</t>
  </si>
  <si>
    <t>Preview card shows correct title, description, and chefhat.png image</t>
  </si>
  <si>
    <t>Session, State &amp; Browser Storage</t>
  </si>
  <si>
    <t>TC-SSB-001</t>
  </si>
  <si>
    <t>Ingredient list persists across page refresh</t>
  </si>
  <si>
    <t>Add ingredients, refresh the page</t>
  </si>
  <si>
    <t>Ingredient list is retained (if app is designed to persist state)</t>
  </si>
  <si>
    <t>TC-SSB-002</t>
  </si>
  <si>
    <t>Generated recipe persists across refresh</t>
  </si>
  <si>
    <t>Generate a recipe, refresh the page</t>
  </si>
  <si>
    <t>Recipe remains visible or is clearly regenerable, no silent data loss</t>
  </si>
  <si>
    <t>TC-SSB-003</t>
  </si>
  <si>
    <t>State behavior in Incognito/Private mode</t>
  </si>
  <si>
    <t>Repeat core flow in an Incognito/Private browser window</t>
  </si>
  <si>
    <t>App functions correctly; persistence behaves as expected for private mode</t>
  </si>
  <si>
    <t>TC-SSB-004</t>
  </si>
  <si>
    <t>localStorage keys are namespaced correctly</t>
  </si>
  <si>
    <t>Inspect Application &gt; Local Storage in DevTools</t>
  </si>
  <si>
    <t>Storage keys are clearly named/namespaced, no collisions with other sites</t>
  </si>
  <si>
    <t>TC-SSB-005</t>
  </si>
  <si>
    <t>Cookie expiry behaves as expected</t>
  </si>
  <si>
    <t>Inspect cookie expiration dates in DevTools</t>
  </si>
  <si>
    <t>Cookies expire per stated policy, not indefinitely without justification</t>
  </si>
  <si>
    <t>TC-SSB-006</t>
  </si>
  <si>
    <t>Clearing browser cache resets app state cleanly</t>
  </si>
  <si>
    <t>Clear site data, then reload app</t>
  </si>
  <si>
    <t>App reloads to a clean initial state without errors</t>
  </si>
  <si>
    <t>TC-SSB-007</t>
  </si>
  <si>
    <t>Storage quota exceeded handling</t>
  </si>
  <si>
    <t>Simulate localStorage quota exceeded (fill storage artificially)</t>
  </si>
  <si>
    <t>App degrades gracefully rather than crashing when storage is full</t>
  </si>
  <si>
    <t>TC-SSB-008</t>
  </si>
  <si>
    <t>Cross-tab state sync (if applicable)</t>
  </si>
  <si>
    <t>Add ingredients in one tab, open a second tab of the same app</t>
  </si>
  <si>
    <t>Behavior is consistent and documented; no corrupted shared state</t>
  </si>
  <si>
    <t>TC-SSB-009</t>
  </si>
  <si>
    <t>Data cleared appropriately if user resets/logs out</t>
  </si>
  <si>
    <t>Use any 'reset' or 'sign out' control if present</t>
  </si>
  <si>
    <t>Relevant local data is cleared as expected</t>
  </si>
  <si>
    <t>TC-SSB-010</t>
  </si>
  <si>
    <t>Dark mode preference persists (if supported)</t>
  </si>
  <si>
    <t>Toggle dark mode, refresh the page</t>
  </si>
  <si>
    <t>Dark/light mode preference is remembered across sessions</t>
  </si>
  <si>
    <t>Notifications, Toasts &amp; Alerts</t>
  </si>
  <si>
    <t>TC-NTA-001</t>
  </si>
  <si>
    <t>Success toast on ingredient added</t>
  </si>
  <si>
    <t>Add a valid ingredient</t>
  </si>
  <si>
    <t>A brief success indicator/toast confirms the addition (if designed)</t>
  </si>
  <si>
    <t>TC-NTA-002</t>
  </si>
  <si>
    <t>Error toast on invalid input</t>
  </si>
  <si>
    <t>Submit invalid input (e.g., empty field)</t>
  </si>
  <si>
    <t>An error toast/message clearly explains the issue</t>
  </si>
  <si>
    <t>TC-NTA-003</t>
  </si>
  <si>
    <t>Toast auto-dismisses after timeout</t>
  </si>
  <si>
    <t>Trigger any toast notification and wait</t>
  </si>
  <si>
    <t>Toast disappears automatically after a reasonable time (e.g., 3-5s)</t>
  </si>
  <si>
    <t>TC-NTA-004</t>
  </si>
  <si>
    <t>Toast manually dismissible</t>
  </si>
  <si>
    <t>Trigger a toast and click its close (X) control if present</t>
  </si>
  <si>
    <t>Toast can be dismissed immediately by the user</t>
  </si>
  <si>
    <t>TC-NTA-005</t>
  </si>
  <si>
    <t>Multiple toasts stack without overlap</t>
  </si>
  <si>
    <t>Trigger two error conditions in quick succession</t>
  </si>
  <si>
    <t>Toasts stack or queue cleanly without visually overlapping</t>
  </si>
  <si>
    <t>TC-NTA-006</t>
  </si>
  <si>
    <t>Toast is announced to screen readers</t>
  </si>
  <si>
    <t>Trigger a toast while using VoiceOver/NVDA</t>
  </si>
  <si>
    <t>Toast uses aria-live so it is announced without requiring focus</t>
  </si>
  <si>
    <t>TC-NTA-007</t>
  </si>
  <si>
    <t>Loading spinner shown during async actions</t>
  </si>
  <si>
    <t>Trigger recipe generation and observe UI</t>
  </si>
  <si>
    <t>A clear, animated loading indicator is shown during the wait</t>
  </si>
  <si>
    <t>TC-NTA-008</t>
  </si>
  <si>
    <t>Network-loss notification</t>
  </si>
  <si>
    <t>Disable network mid-session</t>
  </si>
  <si>
    <t>A persistent, clear indicator shows the user is offline</t>
  </si>
  <si>
    <t>TC-NTA-009</t>
  </si>
  <si>
    <t>Toast positioning correct on mobile</t>
  </si>
  <si>
    <t>Trigger a toast on a mobile viewport</t>
  </si>
  <si>
    <t>Toast appears in a position that doesn't block key controls (e.g., not under thumb)</t>
  </si>
  <si>
    <t>TC-NTA-010</t>
  </si>
  <si>
    <t>Long toast message truncates or wraps cleanly</t>
  </si>
  <si>
    <t>Trigger a toast with a long error message</t>
  </si>
  <si>
    <t>Text wraps or truncates gracefully, no overflow outside toast bounds</t>
  </si>
  <si>
    <t>Content &amp; Copy Quality</t>
  </si>
  <si>
    <t>TC-CCQ-001</t>
  </si>
  <si>
    <t>No spelling/grammar errors sitewide</t>
  </si>
  <si>
    <t>Proofread all visible UI text across the site</t>
  </si>
  <si>
    <t>No spelling or grammar errors found in any user-facing text</t>
  </si>
  <si>
    <t>TC-CCQ-002</t>
  </si>
  <si>
    <t>Button labels are clear and action-oriented</t>
  </si>
  <si>
    <t>Review all button text (Add, Generate, Save, etc.)</t>
  </si>
  <si>
    <t>Labels clearly communicate the resulting action</t>
  </si>
  <si>
    <t>TC-CCQ-003</t>
  </si>
  <si>
    <t>Placeholder text is helpful, not misleading</t>
  </si>
  <si>
    <t>Review placeholder text in all input fields</t>
  </si>
  <si>
    <t>Placeholders guide the user accurately</t>
  </si>
  <si>
    <t>TC-CCQ-004</t>
  </si>
  <si>
    <t>Error messages are specific and actionable</t>
  </si>
  <si>
    <t>Trigger various validation/error states</t>
  </si>
  <si>
    <t>Messages tell the user what went wrong and how to fix it</t>
  </si>
  <si>
    <t>TC-CCQ-005</t>
  </si>
  <si>
    <t>Tooltips (if any) provide useful context</t>
  </si>
  <si>
    <t>Hover over any icons with tooltips</t>
  </si>
  <si>
    <t>Tooltip text is accurate, concise, and helpful</t>
  </si>
  <si>
    <t>TC-CCQ-006</t>
  </si>
  <si>
    <t>Units used consistently (metric vs imperial)</t>
  </si>
  <si>
    <t>Review units across multiple generated recipes</t>
  </si>
  <si>
    <t>Units are applied consistently throughout a given recipe</t>
  </si>
  <si>
    <t>TC-CCQ-007</t>
  </si>
  <si>
    <t>Footer copyright year is current</t>
  </si>
  <si>
    <t>Check footer copyright notice</t>
  </si>
  <si>
    <t>Copyright year reflects the current year</t>
  </si>
  <si>
    <t>TC-CCQ-008</t>
  </si>
  <si>
    <t>Legal links present in footer (Privacy/Terms)</t>
  </si>
  <si>
    <t>Review footer for legal links</t>
  </si>
  <si>
    <t>Privacy Policy and Terms of Service links are present and valid</t>
  </si>
  <si>
    <t>TC-CCQ-009</t>
  </si>
  <si>
    <t>Empty-state messaging is clear</t>
  </si>
  <si>
    <t>View the app before any ingredients are added</t>
  </si>
  <si>
    <t>Empty state clearly guides the user on what to do first</t>
  </si>
  <si>
    <t>TC-CCQ-010</t>
  </si>
  <si>
    <t>Onboarding/help content available for first-time users</t>
  </si>
  <si>
    <t>Look for a tutorial, tooltip walkthrough, or FAQ</t>
  </si>
  <si>
    <t>First-time users have some guidance on how to use the app</t>
  </si>
  <si>
    <t>Device &amp; OS Compatibility</t>
  </si>
  <si>
    <t>TC-DOC-001</t>
  </si>
  <si>
    <t>Full flow on iPhone (iOS Safari)</t>
  </si>
  <si>
    <t>Complete add-ingredients-and-generate flow on an iPhone</t>
  </si>
  <si>
    <t>All functionality works correctly with no iOS-specific rendering issues</t>
  </si>
  <si>
    <t>TC-DOC-002</t>
  </si>
  <si>
    <t>Full flow on Android phone (Chrome)</t>
  </si>
  <si>
    <t>Complete core flow on an Android device</t>
  </si>
  <si>
    <t>All functionality works correctly with no Android-specific issues</t>
  </si>
  <si>
    <t>TC-DOC-003</t>
  </si>
  <si>
    <t>Full flow on iPad (Safari)</t>
  </si>
  <si>
    <t>Complete core flow on an iPad in both orientations</t>
  </si>
  <si>
    <t>Layout adapts correctly; functionality is unaffected</t>
  </si>
  <si>
    <t>TC-DOC-004</t>
  </si>
  <si>
    <t>Full flow on Android tablet</t>
  </si>
  <si>
    <t>Complete core flow on an Android tablet</t>
  </si>
  <si>
    <t>TC-DOC-005</t>
  </si>
  <si>
    <t>Full flow on Chromebook</t>
  </si>
  <si>
    <t>Complete core flow on ChromeOS</t>
  </si>
  <si>
    <t>App functions normally on ChromeOS/Chrome browser</t>
  </si>
  <si>
    <t>TC-DOC-006</t>
  </si>
  <si>
    <t>Touchscreen laptop interaction</t>
  </si>
  <si>
    <t>Use touch input (not mouse) on a Windows touchscreen laptop</t>
  </si>
  <si>
    <t>Touch targets are appropriately sized and responsive</t>
  </si>
  <si>
    <t>TC-DOC-007</t>
  </si>
  <si>
    <t>VoiceOver on iOS</t>
  </si>
  <si>
    <t>Enable VoiceOver on iPhone; navigate core flow</t>
  </si>
  <si>
    <t>All elements are announced correctly and are operable</t>
  </si>
  <si>
    <t>TC-DOC-008</t>
  </si>
  <si>
    <t>TalkBack on Android</t>
  </si>
  <si>
    <t>Enable TalkBack on Android; navigate core flow</t>
  </si>
  <si>
    <t>TC-DOC-009</t>
  </si>
  <si>
    <t>OS-level dark mode reflected in app (if supported)</t>
  </si>
  <si>
    <t>Enable dark mode at the OS level; open the app</t>
  </si>
  <si>
    <t>App respects system dark mode preference if that feature is implemented</t>
  </si>
  <si>
    <t>TC-DOC-010</t>
  </si>
  <si>
    <t>Older browser version graceful degradation</t>
  </si>
  <si>
    <t>Open the site in an older browser version (e.g., 2 versions back)</t>
  </si>
  <si>
    <t>Core functionality still works, or a clear upgrade-browser message is shown</t>
  </si>
  <si>
    <t>Localization &amp; Internationalization</t>
  </si>
  <si>
    <t>TC-LI-001</t>
  </si>
  <si>
    <t>Browser language auto-detection</t>
  </si>
  <si>
    <t>Set browser language to a non-English language; load site</t>
  </si>
  <si>
    <t>Site displays in the detected language if localization is supported, else defaults cleanly to English</t>
  </si>
  <si>
    <t>TC-LI-002</t>
  </si>
  <si>
    <t>Manual language switch (if supported)</t>
  </si>
  <si>
    <t>Use a language selector to switch language</t>
  </si>
  <si>
    <t>UI text updates correctly to the selected language</t>
  </si>
  <si>
    <t>TC-LI-003</t>
  </si>
  <si>
    <t>Fallback to English for untranslated content</t>
  </si>
  <si>
    <t>Switch to a partially translated language</t>
  </si>
  <si>
    <t>Untranslated strings fall back to English rather than showing blank/broken text</t>
  </si>
  <si>
    <t>TC-LI-004</t>
  </si>
  <si>
    <t>Date/number formatting per locale</t>
  </si>
  <si>
    <t>Compare date/number formats across locales (if displayed)</t>
  </si>
  <si>
    <t>Formats follow locale conventions (e.g., DD/MM vs MM/DD)</t>
  </si>
  <si>
    <t>TC-LI-005</t>
  </si>
  <si>
    <t>Text expansion doesn't break layout (German/French)</t>
  </si>
  <si>
    <t>View UI in a language with longer words (e.g., German)</t>
  </si>
  <si>
    <t>Layout accommodates longer text without overflow or truncation</t>
  </si>
  <si>
    <t>TC-LI-006</t>
  </si>
  <si>
    <t>RTL layout support (Arabic/Hebrew, if supported)</t>
  </si>
  <si>
    <t>Switch to an RTL language if supported</t>
  </si>
  <si>
    <t>Layout mirrors correctly for right-to-left reading</t>
  </si>
  <si>
    <t>TC-LI-007</t>
  </si>
  <si>
    <t>Special characters in other languages render correctly</t>
  </si>
  <si>
    <t>Enter/view ingredient names in various scripts</t>
  </si>
  <si>
    <t>All characters render correctly with no mojibake/garbled text</t>
  </si>
  <si>
    <t>TC-LI-008</t>
  </si>
  <si>
    <t>Unit conversion respects regional norms</t>
  </si>
  <si>
    <t>Compare generated recipe units for a US vs metric-region context</t>
  </si>
  <si>
    <t>Units are appropriate to context if localization affects measurement systems</t>
  </si>
  <si>
    <t>TC-LI-009</t>
  </si>
  <si>
    <t>Currency formatting (if any pricing/premium feature)</t>
  </si>
  <si>
    <t>Locate any pricing display</t>
  </si>
  <si>
    <t>Currency is formatted correctly for user locale, if applicable</t>
  </si>
  <si>
    <t>TC-LI-010</t>
  </si>
  <si>
    <t>Translated error messages remain clear</t>
  </si>
  <si>
    <t>Trigger an error state in a non-English locale</t>
  </si>
  <si>
    <t>Translated error messages remain clear and grammatically correct</t>
  </si>
  <si>
    <t>Usability</t>
  </si>
  <si>
    <t>TC-U-001</t>
  </si>
  <si>
    <t>First-time user can complete core flow unaided</t>
  </si>
  <si>
    <t>Observe a new user attempting to generate a recipe with no instructions</t>
  </si>
  <si>
    <t>User can intuitively add ingredients and generate a recipe</t>
  </si>
  <si>
    <t>TC-U-002</t>
  </si>
  <si>
    <t>Ingredient typo tolerance / fuzzy matching</t>
  </si>
  <si>
    <t>Type a common misspelling (e.g., 'tomatoe')</t>
  </si>
  <si>
    <t>App still recognizes/accepts the ingredient reasonably</t>
  </si>
  <si>
    <t>TC-U-003</t>
  </si>
  <si>
    <t>Clear visual hierarchy on results page</t>
  </si>
  <si>
    <t>Review generated recipe layout for visual hierarchy</t>
  </si>
  <si>
    <t>Title, ingredients, and steps are visually distinct and easy to scan</t>
  </si>
  <si>
    <t>TC-U-004</t>
  </si>
  <si>
    <t>Buttons are thumb-reachable on mobile</t>
  </si>
  <si>
    <t>Review button placement on a mobile viewport</t>
  </si>
  <si>
    <t>Primary action buttons are within comfortable thumb reach</t>
  </si>
  <si>
    <t>TC-U-005</t>
  </si>
  <si>
    <t>Loading skeleton/placeholder during generation</t>
  </si>
  <si>
    <t>Observe UI while a recipe is being generated</t>
  </si>
  <si>
    <t>A skeleton screen or clear placeholder reduces perceived wait time</t>
  </si>
  <si>
    <t>TC-U-006</t>
  </si>
  <si>
    <t>Progress indication during multi-step actions</t>
  </si>
  <si>
    <t>Observe any multi-step process (e.g., OCR scan then generate)</t>
  </si>
  <si>
    <t>User is informed of progress at each step</t>
  </si>
  <si>
    <t>TC-U-007</t>
  </si>
  <si>
    <t>Undo removal of an ingredient</t>
  </si>
  <si>
    <t>Remove an ingredient, look for an Undo option</t>
  </si>
  <si>
    <t>Undo restores the ingredient if the feature is implemented</t>
  </si>
  <si>
    <t>TC-U-008</t>
  </si>
  <si>
    <t>Consistent iconography sitewide</t>
  </si>
  <si>
    <t>Review icons used across different sections</t>
  </si>
  <si>
    <t>Icons are visually consistent in style and meaning throughout</t>
  </si>
  <si>
    <t>TC-U-009</t>
  </si>
  <si>
    <t>Font legibility across the site</t>
  </si>
  <si>
    <t>Review font choice, size, and line-height on all text</t>
  </si>
  <si>
    <t>Text is legible at default zoom on all screen sizes</t>
  </si>
  <si>
    <t>TC-U-010</t>
  </si>
  <si>
    <t>Help/FAQ section availability</t>
  </si>
  <si>
    <t>Look for a Help, FAQ, or support section</t>
  </si>
  <si>
    <t>Help content is available and answers common questions</t>
  </si>
  <si>
    <t>TC-U-011</t>
  </si>
  <si>
    <t>Consistent button styling across the app</t>
  </si>
  <si>
    <t>Compare button styles across different sections/pages</t>
  </si>
  <si>
    <t>Primary/secondary button styles are used consistently</t>
  </si>
  <si>
    <t>TC-U-012</t>
  </si>
  <si>
    <t>Clear indication of required vs optional fields</t>
  </si>
  <si>
    <t>Review any multi-field forms for required indicators</t>
  </si>
  <si>
    <t>Required fields are clearly marked</t>
  </si>
  <si>
    <t>TC-U-013</t>
  </si>
  <si>
    <t>App usable with browser zoom at 150%</t>
  </si>
  <si>
    <t>Set browser zoom to 150% and complete core flow</t>
  </si>
  <si>
    <t>All functionality remains usable without layout breakage</t>
  </si>
  <si>
    <t>TC-U-014</t>
  </si>
  <si>
    <t>Consistent terminology used throughout</t>
  </si>
  <si>
    <t>Compare terms like 'ingredient', 'item', 'recipe' across the UI</t>
  </si>
  <si>
    <t>Consistent terminology is used, avoiding user confusion</t>
  </si>
  <si>
    <t>TC-U-015</t>
  </si>
  <si>
    <t>Clear call-to-action above the fold</t>
  </si>
  <si>
    <t>Load homepage without scrolling</t>
  </si>
  <si>
    <t>Primary call-to-action (add ingredient / get started) is visible without scrolling</t>
  </si>
  <si>
    <t>Print Functionality</t>
  </si>
  <si>
    <t>TC-PF-001</t>
  </si>
  <si>
    <t>Print dialog opens from Print button</t>
  </si>
  <si>
    <t>Click the Print button on a recipe</t>
  </si>
  <si>
    <t>Native browser print dialog opens correctly</t>
  </si>
  <si>
    <t>TC-PF-002</t>
  </si>
  <si>
    <t>Print stylesheet removes navigation/ads</t>
  </si>
  <si>
    <t>Open print preview for a recipe</t>
  </si>
  <si>
    <t>Print layout hides header/nav/footer clutter, showing only recipe content</t>
  </si>
  <si>
    <t>TC-PF-003</t>
  </si>
  <si>
    <t>Print preview shows complete recipe</t>
  </si>
  <si>
    <t>Open print preview and review all pages</t>
  </si>
  <si>
    <t>All ingredients and steps are included, none cut off</t>
  </si>
  <si>
    <t>TC-PF-004</t>
  </si>
  <si>
    <t>Page breaks do not split steps awkwardly</t>
  </si>
  <si>
    <t>Print a long recipe with many steps</t>
  </si>
  <si>
    <t>Page breaks occur at logical points, not mid-step or mid-sentence</t>
  </si>
  <si>
    <t>TC-PF-005</t>
  </si>
  <si>
    <t>Print from mobile browser</t>
  </si>
  <si>
    <t>Trigger print from a mobile device browser</t>
  </si>
  <si>
    <t>Print/share-to-print functions correctly on mobile</t>
  </si>
  <si>
    <t>TC-PF-006</t>
  </si>
  <si>
    <t>Save-as-PDF from print dialog produces clean output</t>
  </si>
  <si>
    <t>Use 'Save as PDF' destination in the print dialog</t>
  </si>
  <si>
    <t>Resulting PDF is clean, readable, and correctly paginated</t>
  </si>
  <si>
    <t>TC-PF-007</t>
  </si>
  <si>
    <t>Print includes recipe title and source URL</t>
  </si>
  <si>
    <t>Review printed output header/footer</t>
  </si>
  <si>
    <t>Printed page includes recipe title and reference URL for traceability</t>
  </si>
  <si>
    <t>TC-PF-008</t>
  </si>
  <si>
    <t>Print respects grayscale/ink-saving where relevant</t>
  </si>
  <si>
    <t>Review printed output color usage</t>
  </si>
  <si>
    <t>Layout is reasonably ink-efficient (no unnecessary full-page background colors)</t>
  </si>
  <si>
    <t>Ingredient-Category-Specific Generation</t>
  </si>
  <si>
    <t>TC-ICS-001</t>
  </si>
  <si>
    <t>Generate recipe with meat-only ingredients (chicken, beef, pork)</t>
  </si>
  <si>
    <t>Add ingredients representing meat-only ingredients (chicken, beef, pork); click Generate Recipe</t>
  </si>
  <si>
    <t>App returns a protein-focused recipe using the given meats</t>
  </si>
  <si>
    <t>TC-ICS-002</t>
  </si>
  <si>
    <t>Generate recipe with vegetarian ingredients (paneer, spinach, lentils)</t>
  </si>
  <si>
    <t>Add ingredients representing vegetarian ingredients (paneer, spinach, lentils); click Generate Recipe</t>
  </si>
  <si>
    <t>App returns a coherent vegetarian recipe</t>
  </si>
  <si>
    <t>TC-ICS-003</t>
  </si>
  <si>
    <t>Generate recipe with vegan ingredients (tofu, chickpeas, kale)</t>
  </si>
  <si>
    <t>Add ingredients representing vegan ingredients (tofu, chickpeas, kale); click Generate Recipe</t>
  </si>
  <si>
    <t>App returns a coherent vegan recipe with no animal products</t>
  </si>
  <si>
    <t>TC-ICS-004</t>
  </si>
  <si>
    <t>Generate recipe with dairy-heavy ingredients (cheese, cream, butter, milk)</t>
  </si>
  <si>
    <t>Add ingredients representing dairy-heavy ingredients (cheese, cream, butter, milk); click Generate Recipe</t>
  </si>
  <si>
    <t>App returns a recipe that reasonably uses the dairy items</t>
  </si>
  <si>
    <t>TC-ICS-005</t>
  </si>
  <si>
    <t>Generate recipe with gluten-containing ingredients (flour, pasta, bread)</t>
  </si>
  <si>
    <t>Add ingredients representing gluten-containing ingredients (flour, pasta, bread); click Generate Recipe</t>
  </si>
  <si>
    <t>App returns a recipe correctly incorporating gluten-based staples</t>
  </si>
  <si>
    <t>TC-ICS-006</t>
  </si>
  <si>
    <t>Generate recipe with seafood ingredients (shrimp, salmon, cod)</t>
  </si>
  <si>
    <t>Add ingredients representing seafood ingredients (shrimp, salmon, cod); click Generate Recipe</t>
  </si>
  <si>
    <t>App returns a seafood-focused recipe with safe cooking guidance</t>
  </si>
  <si>
    <t>TC-ICS-007</t>
  </si>
  <si>
    <t>Generate recipe with spicy ingredients (chili, jalapeno, cayenne)</t>
  </si>
  <si>
    <t>Add ingredients representing spicy ingredients (chili, jalapeno, cayenne); click Generate Recipe</t>
  </si>
  <si>
    <t>App returns a recipe reflecting an appropriately spicy profile</t>
  </si>
  <si>
    <t>TC-ICS-008</t>
  </si>
  <si>
    <t>Generate recipe with dessert/sweet ingredients (sugar, chocolate, vanilla)</t>
  </si>
  <si>
    <t>Add ingredients representing dessert/sweet ingredients (sugar, chocolate, vanilla); click Generate Recipe</t>
  </si>
  <si>
    <t>App returns a coherent dessert recipe</t>
  </si>
  <si>
    <t>TC-ICS-009</t>
  </si>
  <si>
    <t>Generate recipe with breakfast ingredients (eggs, oats, bacon)</t>
  </si>
  <si>
    <t>Add ingredients representing breakfast ingredients (eggs, oats, bacon); click Generate Recipe</t>
  </si>
  <si>
    <t>App returns a suitable breakfast recipe</t>
  </si>
  <si>
    <t>TC-ICS-010</t>
  </si>
  <si>
    <t>Generate recipe with keto-friendly ingredients (avocado, eggs, bacon, cheese)</t>
  </si>
  <si>
    <t>Add ingredients representing keto-friendly ingredients (avocado, eggs, bacon, cheese); click Generate Recipe</t>
  </si>
  <si>
    <t>App returns a low-carb, keto-appropriate recipe</t>
  </si>
  <si>
    <t>TC-ICS-011</t>
  </si>
  <si>
    <t>Generate recipe with low-carb ingredients (chicken, broccoli, olive oil)</t>
  </si>
  <si>
    <t>Add ingredients representing low-carb ingredients (chicken, broccoli, olive oil); click Generate Recipe</t>
  </si>
  <si>
    <t>App returns a low-carb recipe avoiding heavy starches</t>
  </si>
  <si>
    <t>TC-ICS-012</t>
  </si>
  <si>
    <t>Generate recipe with high-protein ingredients (chicken breast, eggs, beans)</t>
  </si>
  <si>
    <t>Add ingredients representing high-protein ingredients (chicken breast, eggs, beans); click Generate Recipe</t>
  </si>
  <si>
    <t>App returns a protein-forward recipe</t>
  </si>
  <si>
    <t>TC-ICS-013</t>
  </si>
  <si>
    <t>Generate recipe with canned/pantry-only ingredients (canned beans, canned tomatoes, rice)</t>
  </si>
  <si>
    <t>Add ingredients representing canned/pantry-only ingredients (canned beans, canned tomatoes, rice); click Generate Recipe</t>
  </si>
  <si>
    <t>App returns a pantry-staple recipe using shelf-stable items</t>
  </si>
  <si>
    <t>TC-ICS-014</t>
  </si>
  <si>
    <t>Generate recipe with frozen food ingredients (frozen peas, frozen chicken, frozen berries)</t>
  </si>
  <si>
    <t>Add ingredients representing frozen food ingredients (frozen peas, frozen chicken, frozen berries); click Generate Recipe</t>
  </si>
  <si>
    <t>App returns a recipe accounting for frozen ingredient prep</t>
  </si>
  <si>
    <t>TC-ICS-015</t>
  </si>
  <si>
    <t>Generate recipe with Italian cuisine ingredient set (tomato, basil, mozzarella, pasta)</t>
  </si>
  <si>
    <t>Add ingredients representing Italian cuisine ingredient set (tomato, basil, mozzarella, pasta); click Generate Recipe</t>
  </si>
  <si>
    <t>App returns an Italian-style recipe</t>
  </si>
  <si>
    <t>TC-ICS-016</t>
  </si>
  <si>
    <t>Generate recipe with Mexican cuisine ingredient set (tortilla, beans, cilantro, lime)</t>
  </si>
  <si>
    <t>Add ingredients representing Mexican cuisine ingredient set (tortilla, beans, cilantro, lime); click Generate Recipe</t>
  </si>
  <si>
    <t>App returns a Mexican-style recipe</t>
  </si>
  <si>
    <t>TC-ICS-017</t>
  </si>
  <si>
    <t>Generate recipe with Indian cuisine ingredient set (turmeric, cumin, lentils, rice)</t>
  </si>
  <si>
    <t>Add ingredients representing Indian cuisine ingredient set (turmeric, cumin, lentils, rice); click Generate Recipe</t>
  </si>
  <si>
    <t>App returns an Indian-style recipe</t>
  </si>
  <si>
    <t>TC-ICS-018</t>
  </si>
  <si>
    <t>Generate recipe with Japanese cuisine ingredient set (soy sauce, rice, nori, tofu)</t>
  </si>
  <si>
    <t>Add ingredients representing Japanese cuisine ingredient set (soy sauce, rice, nori, tofu); click Generate Recipe</t>
  </si>
  <si>
    <t>App returns a Japanese-style recipe</t>
  </si>
  <si>
    <t>TC-ICS-019</t>
  </si>
  <si>
    <t>Generate recipe with Middle Eastern ingredient set (chickpeas, tahini, cumin, pita)</t>
  </si>
  <si>
    <t>Add ingredients representing Middle Eastern ingredient set (chickpeas, tahini, cumin, pita); click Generate Recipe</t>
  </si>
  <si>
    <t>App returns a Middle Eastern-style recipe</t>
  </si>
  <si>
    <t>TC-ICS-020</t>
  </si>
  <si>
    <t>Generate recipe with beverage-only ingredients (fruit, yogurt, honey)</t>
  </si>
  <si>
    <t>Add ingredients representing beverage-only ingredients (fruit, yogurt, honey); click Generate Recipe</t>
  </si>
  <si>
    <t>App returns a beverage/smoothie-style recipe</t>
  </si>
  <si>
    <t>TC-ICS-021</t>
  </si>
  <si>
    <t>Generate recipe with baking-only ingredients (flour, yeast, sugar, butter)</t>
  </si>
  <si>
    <t>Add ingredients representing baking-only ingredients (flour, yeast, sugar, butter); click Generate Recipe</t>
  </si>
  <si>
    <t>App returns a baked-goods recipe</t>
  </si>
  <si>
    <t>TC-ICS-022</t>
  </si>
  <si>
    <t>Generate recipe with nut-containing ingredients (almonds, peanuts, cashews)</t>
  </si>
  <si>
    <t>Add ingredients representing nut-containing ingredients (almonds, peanuts, cashews); click Generate Recipe</t>
  </si>
  <si>
    <t>App returns a recipe incorporating nuts appropriately</t>
  </si>
  <si>
    <t>TC-ICS-023</t>
  </si>
  <si>
    <t>Generate recipe with shellfish ingredients (shrimp, crab, mussels)</t>
  </si>
  <si>
    <t>Add ingredients representing shellfish ingredients (shrimp, crab, mussels); click Generate Recipe</t>
  </si>
  <si>
    <t>App returns a shellfish recipe with appropriate handling guidance</t>
  </si>
  <si>
    <t>TC-ICS-024</t>
  </si>
  <si>
    <t>Generate recipe with raw ingredient names without prep state (e.g., 'chicken', not 'cooked chicken')</t>
  </si>
  <si>
    <t>Add ingredients representing raw ingredient names without prep state (e.g., 'chicken', not 'cooked chicken'); click Generate Recipe</t>
  </si>
  <si>
    <t>App returns a recipe that assumes and instructs proper cooking</t>
  </si>
  <si>
    <t>TC-ICS-025</t>
  </si>
  <si>
    <t>Generate recipe with brand-name ingredients (e.g., 'Kraft cheese', 'Heinz ketchup')</t>
  </si>
  <si>
    <t>Add ingredients representing brand-name ingredients (e.g., 'Kraft cheese', 'Heinz ketchup'); click Generate Recipe</t>
  </si>
  <si>
    <t>App returns a recipe treating brand names as their generic ingredient equivalent</t>
  </si>
  <si>
    <t>TC-ICS-026</t>
  </si>
  <si>
    <t>Generate recipe with extremely common combo (chicken, rice, broccoli)</t>
  </si>
  <si>
    <t>Add ingredients representing extremely common combo (chicken, rice, broccoli); click Generate Recipe</t>
  </si>
  <si>
    <t>App returns a simple, well-known style recipe</t>
  </si>
  <si>
    <t>TC-ICS-027</t>
  </si>
  <si>
    <t>Generate recipe with exotic/uncommon ingredients (dragon fruit, kimchi, tahini)</t>
  </si>
  <si>
    <t>Add ingredients representing exotic/uncommon ingredients (dragon fruit, kimchi, tahini); click Generate Recipe</t>
  </si>
  <si>
    <t>App returns a creative recipe incorporating uncommon items sensibly</t>
  </si>
  <si>
    <t>TC-ICS-028</t>
  </si>
  <si>
    <t>Generate recipe with holiday-specific ingredients (turkey, cranberry, stuffing mix)</t>
  </si>
  <si>
    <t>Add ingredients representing holiday-specific ingredients (turkey, cranberry, stuffing mix); click Generate Recipe</t>
  </si>
  <si>
    <t>App returns a holiday-appropriate recipe</t>
  </si>
  <si>
    <t>TC-ICS-029</t>
  </si>
  <si>
    <t>Generate recipe with baby-food style soft ingredients (banana, sweet potato, oats)</t>
  </si>
  <si>
    <t>Add ingredients representing baby-food style soft ingredients (banana, sweet potato, oats); click Generate Recipe</t>
  </si>
  <si>
    <t>App returns a soft/simple recipe suitable for the ingredient type</t>
  </si>
  <si>
    <t>TC-ICS-030</t>
  </si>
  <si>
    <t>Generate recipe with mixed sweet and savory extreme combo (chocolate, fish sauce, ice cream)</t>
  </si>
  <si>
    <t>Add ingredients representing mixed sweet and savory extreme combo (chocolate, fish sauce, ice cream); click Generate Recipe</t>
  </si>
  <si>
    <t>App returns either a creative fusion attempt or a clear low-confidence indication</t>
  </si>
  <si>
    <t>Dietary &amp; Recipe Filters</t>
  </si>
  <si>
    <t>TC-DRF-001</t>
  </si>
  <si>
    <t>Vegetarian filter toggle</t>
  </si>
  <si>
    <t>Enable 'Vegetarian' filter before generating</t>
  </si>
  <si>
    <t>Generated recipe contains no meat or fish</t>
  </si>
  <si>
    <t>TC-DRF-002</t>
  </si>
  <si>
    <t>Vegan filter toggle</t>
  </si>
  <si>
    <t>Enable 'Vegan' filter before generating</t>
  </si>
  <si>
    <t>Generated recipe contains no animal products</t>
  </si>
  <si>
    <t>TC-DRF-003</t>
  </si>
  <si>
    <t>Gluten-free filter toggle</t>
  </si>
  <si>
    <t>Enable 'Gluten-Free' filter before generating</t>
  </si>
  <si>
    <t>Generated recipe avoids gluten-containing ingredients</t>
  </si>
  <si>
    <t>TC-DRF-004</t>
  </si>
  <si>
    <t>Dairy-free filter toggle</t>
  </si>
  <si>
    <t>Enable 'Dairy-Free' filter before generating</t>
  </si>
  <si>
    <t>Generated recipe avoids dairy ingredients</t>
  </si>
  <si>
    <t>TC-DRF-005</t>
  </si>
  <si>
    <t>Keto filter toggle</t>
  </si>
  <si>
    <t>Enable 'Keto' filter before generating</t>
  </si>
  <si>
    <t>Generated recipe is low-carb/high-fat appropriate</t>
  </si>
  <si>
    <t>TC-DRF-006</t>
  </si>
  <si>
    <t>Low-calorie filter toggle</t>
  </si>
  <si>
    <t>Enable 'Low-Calorie' filter before generating</t>
  </si>
  <si>
    <t>Generated recipe reflects lighter, lower-calorie choices</t>
  </si>
  <si>
    <t>TC-DRF-007</t>
  </si>
  <si>
    <t>Cuisine type selector</t>
  </si>
  <si>
    <t>Select a specific cuisine (e.g., Italian) before generating</t>
  </si>
  <si>
    <t>Generated recipe reflects the selected cuisine style</t>
  </si>
  <si>
    <t>TC-DRF-008</t>
  </si>
  <si>
    <t>Meal type selector (breakfast/lunch/dinner/snack)</t>
  </si>
  <si>
    <t>Select 'Breakfast' before generating</t>
  </si>
  <si>
    <t>Generated recipe is appropriate for the selected meal type</t>
  </si>
  <si>
    <t>TC-DRF-009</t>
  </si>
  <si>
    <t>Serving size selector before generation</t>
  </si>
  <si>
    <t>Set desired servings to 6 before generating</t>
  </si>
  <si>
    <t>Generated recipe quantities target the requested serving size</t>
  </si>
  <si>
    <t>TC-DRF-010</t>
  </si>
  <si>
    <t>Cooking time filter (e.g., under 30 minutes)</t>
  </si>
  <si>
    <t>Enable a 'quick meals' time filter</t>
  </si>
  <si>
    <t>Generated recipe's total time respects the filter</t>
  </si>
  <si>
    <t>TC-DRF-011</t>
  </si>
  <si>
    <t>Difficulty level filter</t>
  </si>
  <si>
    <t>Select 'Beginner/Easy' difficulty filter</t>
  </si>
  <si>
    <t>Generated recipe steps are appropriately simple</t>
  </si>
  <si>
    <t>TC-DRF-012</t>
  </si>
  <si>
    <t>Spice level filter</t>
  </si>
  <si>
    <t>Select a 'Mild' spice level filter</t>
  </si>
  <si>
    <t>Generated recipe avoids high-spice ingredients/instructions</t>
  </si>
  <si>
    <t>TC-DRF-013</t>
  </si>
  <si>
    <t>Combine multiple filters simultaneously</t>
  </si>
  <si>
    <t>Enable Vegetarian + Gluten-Free + Quick Meal filters together</t>
  </si>
  <si>
    <t>Generated recipe satisfies all active filters simultaneously</t>
  </si>
  <si>
    <t>TC-DRF-014</t>
  </si>
  <si>
    <t>Filter reset/clear control</t>
  </si>
  <si>
    <t>Enable several filters, then click 'Reset Filters'</t>
  </si>
  <si>
    <t>All filters return to default/off state</t>
  </si>
  <si>
    <t>TC-DRF-015</t>
  </si>
  <si>
    <t>Filter selection persists during session</t>
  </si>
  <si>
    <t>Set filters, add ingredients, generate, then generate again</t>
  </si>
  <si>
    <t>Previously selected filters remain applied across generations</t>
  </si>
  <si>
    <t>TC-DRF-016</t>
  </si>
  <si>
    <t>No results / conflicting filter combination</t>
  </si>
  <si>
    <t>Enable mutually exclusive or overly restrictive filters</t>
  </si>
  <si>
    <t>App shows a clear message when no suitable recipe can be generated</t>
  </si>
  <si>
    <t>TC-DRF-017</t>
  </si>
  <si>
    <t>Filter UI usable on mobile</t>
  </si>
  <si>
    <t>Open and set filters on a mobile viewport</t>
  </si>
  <si>
    <t>Filter controls are easy to tap and read on small screens</t>
  </si>
  <si>
    <t>TC-DRF-018</t>
  </si>
  <si>
    <t>Filter controls are accessible via keyboard/screen reader</t>
  </si>
  <si>
    <t>Navigate filter toggles using keyboard and screen reader</t>
  </si>
  <si>
    <t>Filters are operable and correctly announced</t>
  </si>
  <si>
    <t>TC-DRF-019</t>
  </si>
  <si>
    <t>Default filter state on first visit</t>
  </si>
  <si>
    <t>Load the app for the first time and inspect filter defaults</t>
  </si>
  <si>
    <t>All filters default to an unselected/neutral state</t>
  </si>
  <si>
    <t>TC-DRF-020</t>
  </si>
  <si>
    <t>Filter icon/label clarity</t>
  </si>
  <si>
    <t>Review filter option labels and icons</t>
  </si>
  <si>
    <t>Filter names and icons are unambiguous and easy to understand</t>
  </si>
  <si>
    <t>API &amp; Backend Response Validation</t>
  </si>
  <si>
    <t>TC-ABR-001</t>
  </si>
  <si>
    <t>Recipe generation API returns expected schema</t>
  </si>
  <si>
    <t>Inspect API response payload via DevTools Network tab</t>
  </si>
  <si>
    <t>Response JSON matches the documented/expected schema</t>
  </si>
  <si>
    <t>TC-ABR-002</t>
  </si>
  <si>
    <t>API response time meets SLA under normal load</t>
  </si>
  <si>
    <t>Measure response time for 10 sequential API calls</t>
  </si>
  <si>
    <t>95th percentile response time is within agreed SLA</t>
  </si>
  <si>
    <t>TC-ABR-003</t>
  </si>
  <si>
    <t>API returns correct HTTP status codes</t>
  </si>
  <si>
    <t>Trigger success and failure scenarios; inspect status codes</t>
  </si>
  <si>
    <t>2xx for success, appropriate 4xx/5xx for failure cases</t>
  </si>
  <si>
    <t>TC-ABR-004</t>
  </si>
  <si>
    <t>API handles empty ingredient array gracefully</t>
  </si>
  <si>
    <t>Send a request with an empty ingredients array directly to the API</t>
  </si>
  <si>
    <t>API returns a clear validation error rather than a 500 or malformed recipe</t>
  </si>
  <si>
    <t>TC-ABR-005</t>
  </si>
  <si>
    <t>API versioning header respected (if applicable)</t>
  </si>
  <si>
    <t>Inspect request/response headers for API version info</t>
  </si>
  <si>
    <t>Versioning is consistent and documented if present</t>
  </si>
  <si>
    <t>TC-ABR-006</t>
  </si>
  <si>
    <t>CORS headers configured correctly</t>
  </si>
  <si>
    <t>Inspect CORS headers on API responses from an unauthorized origin</t>
  </si>
  <si>
    <t>CORS policy correctly restricts/allows origins as intended</t>
  </si>
  <si>
    <t>TC-ABR-007</t>
  </si>
  <si>
    <t>Duplicate/idempotent request handling</t>
  </si>
  <si>
    <t>Send the identical generation request twice in quick succession</t>
  </si>
  <si>
    <t>Both requests are handled correctly without corrupting state or duplicating side effects</t>
  </si>
  <si>
    <t>TC-ABR-008</t>
  </si>
  <si>
    <t>Large payload handling (many ingredients via API)</t>
  </si>
  <si>
    <t>Send a request with 100+ ingredients directly to the API</t>
  </si>
  <si>
    <t>API either processes or rejects with a clear, bounded error, no crash</t>
  </si>
  <si>
    <t>TC-ABR-009</t>
  </si>
  <si>
    <t>Unicode ingredient names handled server-side</t>
  </si>
  <si>
    <t>Send ingredient names with unicode/emoji directly to the API</t>
  </si>
  <si>
    <t>API processes or rejects unicode input without encoding errors</t>
  </si>
  <si>
    <t>TC-ABR-010</t>
  </si>
  <si>
    <t>Third-party LLM API failure fallback</t>
  </si>
  <si>
    <t>Simulate the underlying AI/LLM provider being unavailable</t>
  </si>
  <si>
    <t>App shows a clear service-unavailable message instead of hanging or crashing</t>
  </si>
  <si>
    <t>TC-ABR-011</t>
  </si>
  <si>
    <t>Response caching behavior for repeated identical requests</t>
  </si>
  <si>
    <t>Send the same request twice and compare response times/headers</t>
  </si>
  <si>
    <t>Caching behavior (if implemented) is consistent and doesn't serve stale broken data</t>
  </si>
  <si>
    <t>TC-ABR-012</t>
  </si>
  <si>
    <t>API rate-limit headers present</t>
  </si>
  <si>
    <t>Inspect response headers for X-RateLimit-* style headers</t>
  </si>
  <si>
    <t>Rate limit information is exposed if the API enforces limits</t>
  </si>
  <si>
    <t>TC-ABR-013</t>
  </si>
  <si>
    <t>Request payload validation on required fields</t>
  </si>
  <si>
    <t>Omit a required field from a direct API request</t>
  </si>
  <si>
    <t>API returns a descriptive 400-level validation error</t>
  </si>
  <si>
    <t>TC-ABR-014</t>
  </si>
  <si>
    <t>API response content-type header correct</t>
  </si>
  <si>
    <t>Inspect Content-Type header on API responses</t>
  </si>
  <si>
    <t>Header correctly reflects application/json or equivalent</t>
  </si>
  <si>
    <t>TC-ABR-015</t>
  </si>
  <si>
    <t>Graceful degradation when downstream OCR service fails</t>
  </si>
  <si>
    <t>Simulate OCR service failure during a receipt scan</t>
  </si>
  <si>
    <t>App informs the user OCR is unavailable and offers manual entry</t>
  </si>
  <si>
    <t>Load &amp; Stress Testing</t>
  </si>
  <si>
    <t>TC-LST-001</t>
  </si>
  <si>
    <t>Baseline load test - 10 virtual users</t>
  </si>
  <si>
    <t>Run a load test script simulating 10 virtual users over 5 minutes</t>
  </si>
  <si>
    <t>Load testing tool configured</t>
  </si>
  <si>
    <t>All requests succeed with response times within SLA</t>
  </si>
  <si>
    <t>TC-LST-002</t>
  </si>
  <si>
    <t>Moderate load test - 50 virtual users</t>
  </si>
  <si>
    <t>Run a load test simulating 50 virtual users over 10 minutes</t>
  </si>
  <si>
    <t>Error rate remains under 1%; response times degrade minimally</t>
  </si>
  <si>
    <t>TC-LST-003</t>
  </si>
  <si>
    <t>High load test - 200 virtual users</t>
  </si>
  <si>
    <t>Run a load test simulating 200 virtual users</t>
  </si>
  <si>
    <t>System scales, queues, or fails gracefully with informative errors, no crash</t>
  </si>
  <si>
    <t>TC-LST-004</t>
  </si>
  <si>
    <t>Spike test - sudden traffic surge</t>
  </si>
  <si>
    <t>Ramp from 10 to 200 users within 30 seconds</t>
  </si>
  <si>
    <t>System handles the spike without total outage; recovers post-spike</t>
  </si>
  <si>
    <t>TC-LST-005</t>
  </si>
  <si>
    <t>Soak test - sustained moderate load over 1 hour</t>
  </si>
  <si>
    <t>Run 30 virtual users continuously for 1 hour</t>
  </si>
  <si>
    <t>No memory leaks, degrading performance, or increasing error rate over time</t>
  </si>
  <si>
    <t>TC-LST-006</t>
  </si>
  <si>
    <t>Recipe generation queue behavior under load</t>
  </si>
  <si>
    <t>Submit many simultaneous generation requests</t>
  </si>
  <si>
    <t>Requests are queued/processed in order without silent drops</t>
  </si>
  <si>
    <t>TC-LST-007</t>
  </si>
  <si>
    <t>Database/API rate limits respected under load</t>
  </si>
  <si>
    <t>Push load test past the documented rate limit</t>
  </si>
  <si>
    <t>Excess requests receive 429s rather than causing backend failure</t>
  </si>
  <si>
    <t>TC-LST-008</t>
  </si>
  <si>
    <t>Auto-scaling behavior (if applicable infrastructure)</t>
  </si>
  <si>
    <t>Monitor infrastructure metrics during a load spike</t>
  </si>
  <si>
    <t>Access to infrastructure monitoring</t>
  </si>
  <si>
    <t>System scales resources up in response to load, if auto-scaling is configured</t>
  </si>
  <si>
    <t>TC-LST-009</t>
  </si>
  <si>
    <t>Recovery time after load test ends</t>
  </si>
  <si>
    <t>Measure time for response times to return to baseline after load test stops</t>
  </si>
  <si>
    <t>System returns to normal baseline performance within a reasonable window</t>
  </si>
  <si>
    <t>TC-LST-010</t>
  </si>
  <si>
    <t>Concurrent OCR scan requests under load</t>
  </si>
  <si>
    <t>Simulate multiple simultaneous receipt-scan requests</t>
  </si>
  <si>
    <t>OCR feature remains functional and stable under concurrent load</t>
  </si>
  <si>
    <t>Regression / Smoke Test Checklist</t>
  </si>
  <si>
    <t>TC-RST-001</t>
  </si>
  <si>
    <t>[Smoke] Homepage loads post-deploy</t>
  </si>
  <si>
    <t>Load homepage immediately after a new deployment</t>
  </si>
  <si>
    <t>New build deployed</t>
  </si>
  <si>
    <t>Page loads with HTTP 200 and correct layout</t>
  </si>
  <si>
    <t>TC-RST-002</t>
  </si>
  <si>
    <t>[Smoke] Add ingredient works post-deploy</t>
  </si>
  <si>
    <t>Add one ingredient after deployment</t>
  </si>
  <si>
    <t>Ingredient is added successfully</t>
  </si>
  <si>
    <t>TC-RST-003</t>
  </si>
  <si>
    <t>[Smoke] Recipe generation works post-deploy</t>
  </si>
  <si>
    <t>Add ingredients and generate a recipe after deployment</t>
  </si>
  <si>
    <t>Recipe is generated successfully within SLA</t>
  </si>
  <si>
    <t>TC-RST-004</t>
  </si>
  <si>
    <t>[Smoke] No new console errors introduced</t>
  </si>
  <si>
    <t>Reload homepage and core flow; check console</t>
  </si>
  <si>
    <t>No new JavaScript errors compared to previous baseline</t>
  </si>
  <si>
    <t>TC-RST-005</t>
  </si>
  <si>
    <t>[Regression] Previously fixed XSS bug remains fixed</t>
  </si>
  <si>
    <t>Re-submit the original XSS payload that was previously patched</t>
  </si>
  <si>
    <t>Known prior fix reference</t>
  </si>
  <si>
    <t>Payload remains sanitized; bug does not reappear</t>
  </si>
  <si>
    <t>TC-RST-006</t>
  </si>
  <si>
    <t>[Regression] Mobile layout regression check</t>
  </si>
  <si>
    <t>Re-verify mobile layout at previously-tested breakpoints</t>
  </si>
  <si>
    <t>Layout matches previous passing baseline, no new overlap/cutoff</t>
  </si>
  <si>
    <t>TC-RST-007</t>
  </si>
  <si>
    <t>[Regression] Filter combination regression check</t>
  </si>
  <si>
    <t>Re-test previously validated multi-filter combination</t>
  </si>
  <si>
    <t>Filter behavior matches previous passing baseline</t>
  </si>
  <si>
    <t>TC-RST-008</t>
  </si>
  <si>
    <t>[Regression] Accessibility keyboard flow regression</t>
  </si>
  <si>
    <t>Re-run keyboard-only navigation across core flow</t>
  </si>
  <si>
    <t>Keyboard operability matches previous passing baseline</t>
  </si>
  <si>
    <t>TC-RST-009</t>
  </si>
  <si>
    <t>[Regression] Print layout regression check</t>
  </si>
  <si>
    <t>Re-verify recipe print output</t>
  </si>
  <si>
    <t>Print output matches previous passing baseline</t>
  </si>
  <si>
    <t>TC-RST-010</t>
  </si>
  <si>
    <t>[Regression] Performance budget regression</t>
  </si>
  <si>
    <t>Re-run Lighthouse audit and compare scores to baseline</t>
  </si>
  <si>
    <t>Performance scores do not regress beyond an agreed threshold</t>
  </si>
  <si>
    <t>NomNom AI — Manual Testing Report</t>
  </si>
  <si>
    <t>Report Date: August 12, 2026</t>
  </si>
  <si>
    <t>Prepared By: Jhalak Mandal</t>
  </si>
  <si>
    <t>Metric</t>
  </si>
  <si>
    <t>Value</t>
  </si>
  <si>
    <t>Pass Rate</t>
  </si>
  <si>
    <t>High Priority Cases</t>
  </si>
  <si>
    <t>Medium Priority Cases</t>
  </si>
  <si>
    <t>Low Priority Cases</t>
  </si>
  <si>
    <t>Test Cases by Scenario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</si>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</sst>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Noto Sans CJK SC"/>
      <family val="2"/>
    </font>
    <font>
      <b/>
      <sz val="16"/>
      <color rgb="FF1F3A5F"/>
      <name val="Arial"/>
      <charset val="1"/>
    </font>
    <font>
      <i/>
      <sz val="11"/>
      <color rgb="FF666666"/>
      <name val="Arial"/>
      <charset val="1"/>
    </font>
    <font>
      <b/>
      <sz val="12"/>
      <color rgb="FF1F3A5F"/>
      <name val="Arial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11" fillId="0" borderId="0" xfId="0" applyFont="1"/>
    <xf numFmtId="0" fontId="6" fillId="2" borderId="1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EDEDED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Normal="100" workbookViewId="0">
      <selection activeCell="A13" sqref="A13:F13"/>
    </sheetView>
  </sheetViews>
  <sheetFormatPr defaultColWidth="8.6640625" defaultRowHeight="14.4"/>
  <cols>
    <col min="1" max="1" width="22" customWidth="1"/>
    <col min="2" max="2" width="70" customWidth="1"/>
  </cols>
  <sheetData>
    <row r="1" spans="1:6" ht="17.399999999999999">
      <c r="A1" s="2" t="s">
        <v>0</v>
      </c>
    </row>
    <row r="2" spans="1:6">
      <c r="A2" s="3" t="s">
        <v>1</v>
      </c>
    </row>
    <row r="3" spans="1:6">
      <c r="A3" s="4" t="s">
        <v>2</v>
      </c>
    </row>
    <row r="5" spans="1:6">
      <c r="A5" s="3" t="s">
        <v>3</v>
      </c>
      <c r="B5" s="1" t="s">
        <v>4</v>
      </c>
    </row>
    <row r="6" spans="1:6">
      <c r="A6" s="3" t="s">
        <v>5</v>
      </c>
      <c r="B6" s="1" t="s">
        <v>6</v>
      </c>
    </row>
    <row r="7" spans="1:6" ht="27.6">
      <c r="A7" s="3" t="s">
        <v>7</v>
      </c>
      <c r="B7" s="1" t="s">
        <v>8</v>
      </c>
    </row>
    <row r="8" spans="1:6">
      <c r="A8" s="3" t="s">
        <v>9</v>
      </c>
      <c r="B8" s="1" t="s">
        <v>10</v>
      </c>
    </row>
    <row r="9" spans="1:6">
      <c r="A9" s="3" t="s">
        <v>11</v>
      </c>
      <c r="B9" s="1" t="s">
        <v>12</v>
      </c>
    </row>
    <row r="10" spans="1:6">
      <c r="A10" s="3" t="s">
        <v>13</v>
      </c>
      <c r="B10" s="1" t="s">
        <v>14</v>
      </c>
    </row>
    <row r="12" spans="1:6" ht="15.6">
      <c r="A12" s="5" t="s">
        <v>15</v>
      </c>
    </row>
    <row r="13" spans="1:6" ht="60" customHeight="1">
      <c r="A13" s="18" t="s">
        <v>16</v>
      </c>
      <c r="B13" s="18"/>
      <c r="C13" s="18"/>
      <c r="D13" s="18"/>
      <c r="E13" s="18"/>
      <c r="F13" s="18"/>
    </row>
    <row r="15" spans="1:6" ht="15.6">
      <c r="A15" s="5" t="s">
        <v>17</v>
      </c>
    </row>
    <row r="16" spans="1:6">
      <c r="A16" s="3" t="s">
        <v>18</v>
      </c>
      <c r="B16" s="1" t="s">
        <v>19</v>
      </c>
    </row>
    <row r="17" spans="1:2">
      <c r="A17" s="3" t="s">
        <v>20</v>
      </c>
      <c r="B17" s="1" t="s">
        <v>21</v>
      </c>
    </row>
    <row r="18" spans="1:2">
      <c r="A18" s="3" t="s">
        <v>22</v>
      </c>
      <c r="B18" s="1" t="s">
        <v>23</v>
      </c>
    </row>
    <row r="19" spans="1:2">
      <c r="A19" s="3" t="s">
        <v>24</v>
      </c>
      <c r="B19" s="1" t="s">
        <v>25</v>
      </c>
    </row>
    <row r="20" spans="1:2">
      <c r="A20" s="3" t="s">
        <v>26</v>
      </c>
      <c r="B20" s="1" t="s">
        <v>27</v>
      </c>
    </row>
    <row r="22" spans="1:2" ht="15.6">
      <c r="A22" s="5" t="s">
        <v>28</v>
      </c>
    </row>
    <row r="23" spans="1:2">
      <c r="A23" s="3" t="s">
        <v>9</v>
      </c>
      <c r="B23" s="6">
        <v>447</v>
      </c>
    </row>
    <row r="24" spans="1:2">
      <c r="A24" s="3" t="s">
        <v>29</v>
      </c>
      <c r="B24" s="6">
        <v>447</v>
      </c>
    </row>
    <row r="25" spans="1:2">
      <c r="A25" s="3" t="s">
        <v>30</v>
      </c>
      <c r="B25" s="6">
        <v>0</v>
      </c>
    </row>
    <row r="26" spans="1:2">
      <c r="A26" s="3" t="s">
        <v>31</v>
      </c>
      <c r="B26" s="6">
        <v>0</v>
      </c>
    </row>
    <row r="27" spans="1:2">
      <c r="A27" s="3" t="s">
        <v>32</v>
      </c>
      <c r="B27" s="6">
        <v>0</v>
      </c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7"/>
  <sheetViews>
    <sheetView showGridLines="0" zoomScaleNormal="100" workbookViewId="0">
      <pane ySplit="1" topLeftCell="A2" activePane="bottomLeft" state="frozen"/>
      <selection activeCell="A13" sqref="A13:F13"/>
      <selection pane="bottomLeft" activeCell="A13" sqref="A13:F13"/>
    </sheetView>
  </sheetViews>
  <sheetFormatPr defaultColWidth="8.6640625" defaultRowHeight="14.4"/>
  <cols>
    <col min="1" max="1" width="7" customWidth="1"/>
    <col min="2" max="2" width="26" customWidth="1"/>
    <col min="3" max="3" width="16" customWidth="1"/>
    <col min="4" max="4" width="32" customWidth="1"/>
    <col min="5" max="5" width="46" customWidth="1"/>
    <col min="6" max="6" width="22" customWidth="1"/>
    <col min="7" max="7" width="42" customWidth="1"/>
    <col min="8" max="8" width="20" customWidth="1"/>
    <col min="9" max="9" width="14" customWidth="1"/>
    <col min="10" max="10" width="10" customWidth="1"/>
  </cols>
  <sheetData>
    <row r="1" spans="1:10" ht="26.25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</row>
    <row r="2" spans="1:10" ht="39" customHeight="1">
      <c r="A2" s="8">
        <v>1</v>
      </c>
      <c r="B2" s="9" t="s">
        <v>43</v>
      </c>
      <c r="C2" s="8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48</v>
      </c>
      <c r="I2" s="8" t="s">
        <v>49</v>
      </c>
      <c r="J2" s="8" t="s">
        <v>50</v>
      </c>
    </row>
    <row r="3" spans="1:10" ht="39" customHeight="1">
      <c r="A3" s="8">
        <v>2</v>
      </c>
      <c r="B3" s="9" t="s">
        <v>43</v>
      </c>
      <c r="C3" s="8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55</v>
      </c>
      <c r="I3" s="8" t="s">
        <v>49</v>
      </c>
      <c r="J3" s="8" t="s">
        <v>56</v>
      </c>
    </row>
    <row r="4" spans="1:10" ht="39" customHeight="1">
      <c r="A4" s="8">
        <v>3</v>
      </c>
      <c r="B4" s="9" t="s">
        <v>43</v>
      </c>
      <c r="C4" s="8" t="s">
        <v>57</v>
      </c>
      <c r="D4" s="9" t="s">
        <v>58</v>
      </c>
      <c r="E4" s="9" t="s">
        <v>59</v>
      </c>
      <c r="F4" s="9" t="s">
        <v>54</v>
      </c>
      <c r="G4" s="9" t="s">
        <v>60</v>
      </c>
      <c r="H4" s="9" t="s">
        <v>60</v>
      </c>
      <c r="I4" s="8" t="s">
        <v>49</v>
      </c>
      <c r="J4" s="8" t="s">
        <v>56</v>
      </c>
    </row>
    <row r="5" spans="1:10" ht="39" customHeight="1">
      <c r="A5" s="8">
        <v>4</v>
      </c>
      <c r="B5" s="9" t="s">
        <v>43</v>
      </c>
      <c r="C5" s="8" t="s">
        <v>61</v>
      </c>
      <c r="D5" s="9" t="s">
        <v>62</v>
      </c>
      <c r="E5" s="9" t="s">
        <v>63</v>
      </c>
      <c r="F5" s="9" t="s">
        <v>54</v>
      </c>
      <c r="G5" s="9" t="s">
        <v>64</v>
      </c>
      <c r="H5" s="9" t="s">
        <v>64</v>
      </c>
      <c r="I5" s="8" t="s">
        <v>49</v>
      </c>
      <c r="J5" s="8" t="s">
        <v>56</v>
      </c>
    </row>
    <row r="6" spans="1:10" ht="39" customHeight="1">
      <c r="A6" s="8">
        <v>5</v>
      </c>
      <c r="B6" s="9" t="s">
        <v>43</v>
      </c>
      <c r="C6" s="8" t="s">
        <v>65</v>
      </c>
      <c r="D6" s="9" t="s">
        <v>66</v>
      </c>
      <c r="E6" s="9" t="s">
        <v>67</v>
      </c>
      <c r="F6" s="9" t="s">
        <v>54</v>
      </c>
      <c r="G6" s="9" t="s">
        <v>68</v>
      </c>
      <c r="H6" s="9" t="s">
        <v>68</v>
      </c>
      <c r="I6" s="8" t="s">
        <v>49</v>
      </c>
      <c r="J6" s="8" t="s">
        <v>56</v>
      </c>
    </row>
    <row r="7" spans="1:10" ht="39" customHeight="1">
      <c r="A7" s="8">
        <v>6</v>
      </c>
      <c r="B7" s="9" t="s">
        <v>43</v>
      </c>
      <c r="C7" s="8" t="s">
        <v>69</v>
      </c>
      <c r="D7" s="9" t="s">
        <v>70</v>
      </c>
      <c r="E7" s="9" t="s">
        <v>71</v>
      </c>
      <c r="F7" s="9" t="s">
        <v>54</v>
      </c>
      <c r="G7" s="9" t="s">
        <v>72</v>
      </c>
      <c r="H7" s="9" t="s">
        <v>72</v>
      </c>
      <c r="I7" s="8" t="s">
        <v>49</v>
      </c>
      <c r="J7" s="8" t="s">
        <v>73</v>
      </c>
    </row>
    <row r="8" spans="1:10" ht="39" customHeight="1">
      <c r="A8" s="8">
        <v>7</v>
      </c>
      <c r="B8" s="9" t="s">
        <v>43</v>
      </c>
      <c r="C8" s="8" t="s">
        <v>74</v>
      </c>
      <c r="D8" s="9" t="s">
        <v>75</v>
      </c>
      <c r="E8" s="9" t="s">
        <v>76</v>
      </c>
      <c r="F8" s="9" t="s">
        <v>54</v>
      </c>
      <c r="G8" s="9" t="s">
        <v>77</v>
      </c>
      <c r="H8" s="9" t="s">
        <v>77</v>
      </c>
      <c r="I8" s="8" t="s">
        <v>49</v>
      </c>
      <c r="J8" s="8" t="s">
        <v>56</v>
      </c>
    </row>
    <row r="9" spans="1:10" ht="39" customHeight="1">
      <c r="A9" s="8">
        <v>8</v>
      </c>
      <c r="B9" s="9" t="s">
        <v>43</v>
      </c>
      <c r="C9" s="8" t="s">
        <v>78</v>
      </c>
      <c r="D9" s="9" t="s">
        <v>79</v>
      </c>
      <c r="E9" s="9" t="s">
        <v>80</v>
      </c>
      <c r="F9" s="9" t="s">
        <v>54</v>
      </c>
      <c r="G9" s="9" t="s">
        <v>81</v>
      </c>
      <c r="H9" s="9" t="s">
        <v>81</v>
      </c>
      <c r="I9" s="8" t="s">
        <v>49</v>
      </c>
      <c r="J9" s="8" t="s">
        <v>50</v>
      </c>
    </row>
    <row r="10" spans="1:10" ht="39" customHeight="1">
      <c r="A10" s="8">
        <v>9</v>
      </c>
      <c r="B10" s="9" t="s">
        <v>43</v>
      </c>
      <c r="C10" s="8" t="s">
        <v>82</v>
      </c>
      <c r="D10" s="9" t="s">
        <v>83</v>
      </c>
      <c r="E10" s="9" t="s">
        <v>84</v>
      </c>
      <c r="F10" s="9" t="s">
        <v>54</v>
      </c>
      <c r="G10" s="9" t="s">
        <v>85</v>
      </c>
      <c r="H10" s="9" t="s">
        <v>85</v>
      </c>
      <c r="I10" s="8" t="s">
        <v>49</v>
      </c>
      <c r="J10" s="8" t="s">
        <v>50</v>
      </c>
    </row>
    <row r="11" spans="1:10" ht="39" customHeight="1">
      <c r="A11" s="8">
        <v>10</v>
      </c>
      <c r="B11" s="9" t="s">
        <v>43</v>
      </c>
      <c r="C11" s="8" t="s">
        <v>86</v>
      </c>
      <c r="D11" s="9" t="s">
        <v>87</v>
      </c>
      <c r="E11" s="9" t="s">
        <v>88</v>
      </c>
      <c r="F11" s="9" t="s">
        <v>54</v>
      </c>
      <c r="G11" s="9" t="s">
        <v>89</v>
      </c>
      <c r="H11" s="9" t="s">
        <v>89</v>
      </c>
      <c r="I11" s="8" t="s">
        <v>49</v>
      </c>
      <c r="J11" s="8" t="s">
        <v>73</v>
      </c>
    </row>
    <row r="12" spans="1:10" ht="39" customHeight="1">
      <c r="A12" s="8">
        <v>11</v>
      </c>
      <c r="B12" s="9" t="s">
        <v>43</v>
      </c>
      <c r="C12" s="8" t="s">
        <v>90</v>
      </c>
      <c r="D12" s="9" t="s">
        <v>91</v>
      </c>
      <c r="E12" s="9" t="s">
        <v>92</v>
      </c>
      <c r="F12" s="9" t="s">
        <v>93</v>
      </c>
      <c r="G12" s="9" t="s">
        <v>94</v>
      </c>
      <c r="H12" s="9" t="s">
        <v>94</v>
      </c>
      <c r="I12" s="8" t="s">
        <v>49</v>
      </c>
      <c r="J12" s="8" t="s">
        <v>50</v>
      </c>
    </row>
    <row r="13" spans="1:10" ht="26.25" customHeight="1">
      <c r="A13" s="8">
        <v>12</v>
      </c>
      <c r="B13" s="9" t="s">
        <v>43</v>
      </c>
      <c r="C13" s="8" t="s">
        <v>95</v>
      </c>
      <c r="D13" s="9" t="s">
        <v>96</v>
      </c>
      <c r="E13" s="9" t="s">
        <v>97</v>
      </c>
      <c r="F13" s="9" t="s">
        <v>54</v>
      </c>
      <c r="G13" s="9" t="s">
        <v>98</v>
      </c>
      <c r="H13" s="9" t="s">
        <v>98</v>
      </c>
      <c r="I13" s="8" t="s">
        <v>49</v>
      </c>
      <c r="J13" s="8" t="s">
        <v>50</v>
      </c>
    </row>
    <row r="14" spans="1:10" ht="39" customHeight="1">
      <c r="A14" s="8">
        <v>14</v>
      </c>
      <c r="B14" s="9" t="s">
        <v>43</v>
      </c>
      <c r="C14" s="8" t="s">
        <v>99</v>
      </c>
      <c r="D14" s="9" t="s">
        <v>100</v>
      </c>
      <c r="E14" s="9" t="s">
        <v>101</v>
      </c>
      <c r="F14" s="9" t="s">
        <v>54</v>
      </c>
      <c r="G14" s="9" t="s">
        <v>102</v>
      </c>
      <c r="H14" s="9" t="s">
        <v>102</v>
      </c>
      <c r="I14" s="8" t="s">
        <v>49</v>
      </c>
      <c r="J14" s="8" t="s">
        <v>56</v>
      </c>
    </row>
    <row r="15" spans="1:10" ht="39" customHeight="1">
      <c r="A15" s="8">
        <v>15</v>
      </c>
      <c r="B15" s="9" t="s">
        <v>43</v>
      </c>
      <c r="C15" s="8" t="s">
        <v>103</v>
      </c>
      <c r="D15" s="9" t="s">
        <v>104</v>
      </c>
      <c r="E15" s="9" t="s">
        <v>105</v>
      </c>
      <c r="F15" s="9" t="s">
        <v>54</v>
      </c>
      <c r="G15" s="9" t="s">
        <v>106</v>
      </c>
      <c r="H15" s="9" t="s">
        <v>106</v>
      </c>
      <c r="I15" s="8" t="s">
        <v>49</v>
      </c>
      <c r="J15" s="8" t="s">
        <v>56</v>
      </c>
    </row>
    <row r="16" spans="1:10" ht="39" customHeight="1">
      <c r="A16" s="8">
        <v>16</v>
      </c>
      <c r="B16" s="9" t="s">
        <v>107</v>
      </c>
      <c r="C16" s="8" t="s">
        <v>108</v>
      </c>
      <c r="D16" s="9" t="s">
        <v>109</v>
      </c>
      <c r="E16" s="9" t="s">
        <v>110</v>
      </c>
      <c r="F16" s="9" t="s">
        <v>54</v>
      </c>
      <c r="G16" s="9" t="s">
        <v>111</v>
      </c>
      <c r="H16" s="9" t="s">
        <v>111</v>
      </c>
      <c r="I16" s="8" t="s">
        <v>49</v>
      </c>
      <c r="J16" s="8" t="s">
        <v>50</v>
      </c>
    </row>
    <row r="17" spans="1:10" ht="39" customHeight="1">
      <c r="A17" s="8">
        <v>17</v>
      </c>
      <c r="B17" s="9" t="s">
        <v>107</v>
      </c>
      <c r="C17" s="8" t="s">
        <v>112</v>
      </c>
      <c r="D17" s="9" t="s">
        <v>113</v>
      </c>
      <c r="E17" s="9" t="s">
        <v>114</v>
      </c>
      <c r="F17" s="9" t="s">
        <v>54</v>
      </c>
      <c r="G17" s="9" t="s">
        <v>115</v>
      </c>
      <c r="H17" s="9" t="s">
        <v>115</v>
      </c>
      <c r="I17" s="8" t="s">
        <v>49</v>
      </c>
      <c r="J17" s="8" t="s">
        <v>50</v>
      </c>
    </row>
    <row r="18" spans="1:10" ht="39" customHeight="1">
      <c r="A18" s="8">
        <v>18</v>
      </c>
      <c r="B18" s="9" t="s">
        <v>107</v>
      </c>
      <c r="C18" s="8" t="s">
        <v>116</v>
      </c>
      <c r="D18" s="9" t="s">
        <v>117</v>
      </c>
      <c r="E18" s="9" t="s">
        <v>118</v>
      </c>
      <c r="F18" s="9" t="s">
        <v>54</v>
      </c>
      <c r="G18" s="9" t="s">
        <v>119</v>
      </c>
      <c r="H18" s="9" t="s">
        <v>119</v>
      </c>
      <c r="I18" s="8" t="s">
        <v>49</v>
      </c>
      <c r="J18" s="8" t="s">
        <v>73</v>
      </c>
    </row>
    <row r="19" spans="1:10" ht="39" customHeight="1">
      <c r="A19" s="8">
        <v>19</v>
      </c>
      <c r="B19" s="9" t="s">
        <v>107</v>
      </c>
      <c r="C19" s="8" t="s">
        <v>120</v>
      </c>
      <c r="D19" s="9" t="s">
        <v>121</v>
      </c>
      <c r="E19" s="9" t="s">
        <v>122</v>
      </c>
      <c r="F19" s="9" t="s">
        <v>123</v>
      </c>
      <c r="G19" s="9" t="s">
        <v>124</v>
      </c>
      <c r="H19" s="9" t="s">
        <v>124</v>
      </c>
      <c r="I19" s="8" t="s">
        <v>49</v>
      </c>
      <c r="J19" s="8" t="s">
        <v>50</v>
      </c>
    </row>
    <row r="20" spans="1:10" ht="39" customHeight="1">
      <c r="A20" s="8">
        <v>20</v>
      </c>
      <c r="B20" s="9" t="s">
        <v>107</v>
      </c>
      <c r="C20" s="8" t="s">
        <v>125</v>
      </c>
      <c r="D20" s="9" t="s">
        <v>126</v>
      </c>
      <c r="E20" s="9" t="s">
        <v>127</v>
      </c>
      <c r="F20" s="9" t="s">
        <v>123</v>
      </c>
      <c r="G20" s="9" t="s">
        <v>128</v>
      </c>
      <c r="H20" s="9" t="s">
        <v>128</v>
      </c>
      <c r="I20" s="8" t="s">
        <v>49</v>
      </c>
      <c r="J20" s="8" t="s">
        <v>73</v>
      </c>
    </row>
    <row r="21" spans="1:10" ht="39" customHeight="1">
      <c r="A21" s="8">
        <v>21</v>
      </c>
      <c r="B21" s="9" t="s">
        <v>107</v>
      </c>
      <c r="C21" s="8" t="s">
        <v>129</v>
      </c>
      <c r="D21" s="9" t="s">
        <v>130</v>
      </c>
      <c r="E21" s="9" t="s">
        <v>131</v>
      </c>
      <c r="F21" s="9" t="s">
        <v>123</v>
      </c>
      <c r="G21" s="9" t="s">
        <v>132</v>
      </c>
      <c r="H21" s="9" t="s">
        <v>132</v>
      </c>
      <c r="I21" s="8" t="s">
        <v>49</v>
      </c>
      <c r="J21" s="8" t="s">
        <v>73</v>
      </c>
    </row>
    <row r="22" spans="1:10" ht="39" customHeight="1">
      <c r="A22" s="8">
        <v>22</v>
      </c>
      <c r="B22" s="9" t="s">
        <v>107</v>
      </c>
      <c r="C22" s="8" t="s">
        <v>133</v>
      </c>
      <c r="D22" s="9" t="s">
        <v>134</v>
      </c>
      <c r="E22" s="9" t="s">
        <v>135</v>
      </c>
      <c r="F22" s="9" t="s">
        <v>54</v>
      </c>
      <c r="G22" s="9" t="s">
        <v>136</v>
      </c>
      <c r="H22" s="9" t="s">
        <v>136</v>
      </c>
      <c r="I22" s="8" t="s">
        <v>49</v>
      </c>
      <c r="J22" s="8" t="s">
        <v>56</v>
      </c>
    </row>
    <row r="23" spans="1:10" ht="39" customHeight="1">
      <c r="A23" s="8">
        <v>23</v>
      </c>
      <c r="B23" s="9" t="s">
        <v>107</v>
      </c>
      <c r="C23" s="8" t="s">
        <v>137</v>
      </c>
      <c r="D23" s="9" t="s">
        <v>138</v>
      </c>
      <c r="E23" s="9" t="s">
        <v>139</v>
      </c>
      <c r="F23" s="9" t="s">
        <v>54</v>
      </c>
      <c r="G23" s="9" t="s">
        <v>140</v>
      </c>
      <c r="H23" s="9" t="s">
        <v>140</v>
      </c>
      <c r="I23" s="8" t="s">
        <v>49</v>
      </c>
      <c r="J23" s="8" t="s">
        <v>73</v>
      </c>
    </row>
    <row r="24" spans="1:10" ht="39" customHeight="1">
      <c r="A24" s="8">
        <v>24</v>
      </c>
      <c r="B24" s="9" t="s">
        <v>107</v>
      </c>
      <c r="C24" s="8" t="s">
        <v>141</v>
      </c>
      <c r="D24" s="9" t="s">
        <v>142</v>
      </c>
      <c r="E24" s="9" t="s">
        <v>143</v>
      </c>
      <c r="F24" s="9" t="s">
        <v>54</v>
      </c>
      <c r="G24" s="9" t="s">
        <v>144</v>
      </c>
      <c r="H24" s="9" t="s">
        <v>144</v>
      </c>
      <c r="I24" s="8" t="s">
        <v>49</v>
      </c>
      <c r="J24" s="8" t="s">
        <v>56</v>
      </c>
    </row>
    <row r="25" spans="1:10" ht="39" customHeight="1">
      <c r="A25" s="8">
        <v>25</v>
      </c>
      <c r="B25" s="9" t="s">
        <v>107</v>
      </c>
      <c r="C25" s="8" t="s">
        <v>145</v>
      </c>
      <c r="D25" s="9" t="s">
        <v>146</v>
      </c>
      <c r="E25" s="9" t="s">
        <v>147</v>
      </c>
      <c r="F25" s="9" t="s">
        <v>54</v>
      </c>
      <c r="G25" s="9" t="s">
        <v>148</v>
      </c>
      <c r="H25" s="9" t="s">
        <v>148</v>
      </c>
      <c r="I25" s="8" t="s">
        <v>49</v>
      </c>
      <c r="J25" s="8" t="s">
        <v>73</v>
      </c>
    </row>
    <row r="26" spans="1:10" ht="39" customHeight="1">
      <c r="A26" s="8">
        <v>26</v>
      </c>
      <c r="B26" s="9" t="s">
        <v>107</v>
      </c>
      <c r="C26" s="8" t="s">
        <v>149</v>
      </c>
      <c r="D26" s="9" t="s">
        <v>150</v>
      </c>
      <c r="E26" s="9" t="s">
        <v>151</v>
      </c>
      <c r="F26" s="9" t="s">
        <v>54</v>
      </c>
      <c r="G26" s="9" t="s">
        <v>152</v>
      </c>
      <c r="H26" s="9" t="s">
        <v>152</v>
      </c>
      <c r="I26" s="8" t="s">
        <v>49</v>
      </c>
      <c r="J26" s="8" t="s">
        <v>73</v>
      </c>
    </row>
    <row r="27" spans="1:10" ht="39" customHeight="1">
      <c r="A27" s="8">
        <v>27</v>
      </c>
      <c r="B27" s="9" t="s">
        <v>107</v>
      </c>
      <c r="C27" s="8" t="s">
        <v>153</v>
      </c>
      <c r="D27" s="9" t="s">
        <v>154</v>
      </c>
      <c r="E27" s="9" t="s">
        <v>155</v>
      </c>
      <c r="F27" s="9" t="s">
        <v>54</v>
      </c>
      <c r="G27" s="9" t="s">
        <v>156</v>
      </c>
      <c r="H27" s="9" t="s">
        <v>156</v>
      </c>
      <c r="I27" s="8" t="s">
        <v>49</v>
      </c>
      <c r="J27" s="8" t="s">
        <v>73</v>
      </c>
    </row>
    <row r="28" spans="1:10" ht="39" customHeight="1">
      <c r="A28" s="8">
        <v>28</v>
      </c>
      <c r="B28" s="9" t="s">
        <v>107</v>
      </c>
      <c r="C28" s="8" t="s">
        <v>157</v>
      </c>
      <c r="D28" s="9" t="s">
        <v>158</v>
      </c>
      <c r="E28" s="9" t="s">
        <v>159</v>
      </c>
      <c r="F28" s="9" t="s">
        <v>54</v>
      </c>
      <c r="G28" s="9" t="s">
        <v>160</v>
      </c>
      <c r="H28" s="9" t="s">
        <v>160</v>
      </c>
      <c r="I28" s="8" t="s">
        <v>49</v>
      </c>
      <c r="J28" s="8" t="s">
        <v>50</v>
      </c>
    </row>
    <row r="29" spans="1:10" ht="39" customHeight="1">
      <c r="A29" s="8">
        <v>29</v>
      </c>
      <c r="B29" s="9" t="s">
        <v>107</v>
      </c>
      <c r="C29" s="8" t="s">
        <v>161</v>
      </c>
      <c r="D29" s="9" t="s">
        <v>162</v>
      </c>
      <c r="E29" s="9" t="s">
        <v>163</v>
      </c>
      <c r="F29" s="9" t="s">
        <v>54</v>
      </c>
      <c r="G29" s="9" t="s">
        <v>164</v>
      </c>
      <c r="H29" s="9" t="s">
        <v>164</v>
      </c>
      <c r="I29" s="8" t="s">
        <v>49</v>
      </c>
      <c r="J29" s="8" t="s">
        <v>50</v>
      </c>
    </row>
    <row r="30" spans="1:10" ht="39" customHeight="1">
      <c r="A30" s="8">
        <v>30</v>
      </c>
      <c r="B30" s="9" t="s">
        <v>107</v>
      </c>
      <c r="C30" s="8" t="s">
        <v>165</v>
      </c>
      <c r="D30" s="9" t="s">
        <v>166</v>
      </c>
      <c r="E30" s="9" t="s">
        <v>167</v>
      </c>
      <c r="F30" s="9" t="s">
        <v>123</v>
      </c>
      <c r="G30" s="9" t="s">
        <v>168</v>
      </c>
      <c r="H30" s="9" t="s">
        <v>168</v>
      </c>
      <c r="I30" s="8" t="s">
        <v>49</v>
      </c>
      <c r="J30" s="8" t="s">
        <v>56</v>
      </c>
    </row>
    <row r="31" spans="1:10" ht="39" customHeight="1">
      <c r="A31" s="8">
        <v>31</v>
      </c>
      <c r="B31" s="9" t="s">
        <v>107</v>
      </c>
      <c r="C31" s="8" t="s">
        <v>169</v>
      </c>
      <c r="D31" s="9" t="s">
        <v>170</v>
      </c>
      <c r="E31" s="9" t="s">
        <v>171</v>
      </c>
      <c r="F31" s="9" t="s">
        <v>123</v>
      </c>
      <c r="G31" s="9" t="s">
        <v>172</v>
      </c>
      <c r="H31" s="9" t="s">
        <v>172</v>
      </c>
      <c r="I31" s="8" t="s">
        <v>49</v>
      </c>
      <c r="J31" s="8" t="s">
        <v>56</v>
      </c>
    </row>
    <row r="32" spans="1:10" ht="39" customHeight="1">
      <c r="A32" s="8">
        <v>32</v>
      </c>
      <c r="B32" s="9" t="s">
        <v>107</v>
      </c>
      <c r="C32" s="8" t="s">
        <v>173</v>
      </c>
      <c r="D32" s="9" t="s">
        <v>174</v>
      </c>
      <c r="E32" s="9" t="s">
        <v>175</v>
      </c>
      <c r="F32" s="9" t="s">
        <v>54</v>
      </c>
      <c r="G32" s="9" t="s">
        <v>176</v>
      </c>
      <c r="H32" s="9" t="s">
        <v>176</v>
      </c>
      <c r="I32" s="8" t="s">
        <v>49</v>
      </c>
      <c r="J32" s="8" t="s">
        <v>73</v>
      </c>
    </row>
    <row r="33" spans="1:10" ht="39" customHeight="1">
      <c r="A33" s="8">
        <v>33</v>
      </c>
      <c r="B33" s="9" t="s">
        <v>107</v>
      </c>
      <c r="C33" s="8" t="s">
        <v>177</v>
      </c>
      <c r="D33" s="9" t="s">
        <v>178</v>
      </c>
      <c r="E33" s="9" t="s">
        <v>179</v>
      </c>
      <c r="F33" s="9" t="s">
        <v>123</v>
      </c>
      <c r="G33" s="9" t="s">
        <v>180</v>
      </c>
      <c r="H33" s="9" t="s">
        <v>180</v>
      </c>
      <c r="I33" s="8" t="s">
        <v>49</v>
      </c>
      <c r="J33" s="8" t="s">
        <v>56</v>
      </c>
    </row>
    <row r="34" spans="1:10" ht="39" customHeight="1">
      <c r="A34" s="8">
        <v>34</v>
      </c>
      <c r="B34" s="9" t="s">
        <v>107</v>
      </c>
      <c r="C34" s="8" t="s">
        <v>181</v>
      </c>
      <c r="D34" s="9" t="s">
        <v>182</v>
      </c>
      <c r="E34" s="9" t="s">
        <v>183</v>
      </c>
      <c r="F34" s="9" t="s">
        <v>54</v>
      </c>
      <c r="G34" s="9" t="s">
        <v>184</v>
      </c>
      <c r="H34" s="9" t="s">
        <v>184</v>
      </c>
      <c r="I34" s="8" t="s">
        <v>49</v>
      </c>
      <c r="J34" s="8" t="s">
        <v>56</v>
      </c>
    </row>
    <row r="35" spans="1:10" ht="39" customHeight="1">
      <c r="A35" s="8">
        <v>35</v>
      </c>
      <c r="B35" s="9" t="s">
        <v>107</v>
      </c>
      <c r="C35" s="8" t="s">
        <v>185</v>
      </c>
      <c r="D35" s="9" t="s">
        <v>186</v>
      </c>
      <c r="E35" s="9" t="s">
        <v>187</v>
      </c>
      <c r="F35" s="9" t="s">
        <v>54</v>
      </c>
      <c r="G35" s="9" t="s">
        <v>188</v>
      </c>
      <c r="H35" s="9" t="s">
        <v>188</v>
      </c>
      <c r="I35" s="8" t="s">
        <v>49</v>
      </c>
      <c r="J35" s="8" t="s">
        <v>56</v>
      </c>
    </row>
    <row r="36" spans="1:10" ht="39" customHeight="1">
      <c r="A36" s="8">
        <v>36</v>
      </c>
      <c r="B36" s="9" t="s">
        <v>107</v>
      </c>
      <c r="C36" s="8" t="s">
        <v>189</v>
      </c>
      <c r="D36" s="9" t="s">
        <v>190</v>
      </c>
      <c r="E36" s="9" t="s">
        <v>191</v>
      </c>
      <c r="F36" s="9" t="s">
        <v>123</v>
      </c>
      <c r="G36" s="9" t="s">
        <v>192</v>
      </c>
      <c r="H36" s="9" t="s">
        <v>192</v>
      </c>
      <c r="I36" s="8" t="s">
        <v>49</v>
      </c>
      <c r="J36" s="8" t="s">
        <v>56</v>
      </c>
    </row>
    <row r="37" spans="1:10" ht="39" customHeight="1">
      <c r="A37" s="8">
        <v>37</v>
      </c>
      <c r="B37" s="9" t="s">
        <v>107</v>
      </c>
      <c r="C37" s="8" t="s">
        <v>193</v>
      </c>
      <c r="D37" s="9" t="s">
        <v>194</v>
      </c>
      <c r="E37" s="9" t="s">
        <v>195</v>
      </c>
      <c r="F37" s="9" t="s">
        <v>54</v>
      </c>
      <c r="G37" s="9" t="s">
        <v>196</v>
      </c>
      <c r="H37" s="9" t="s">
        <v>196</v>
      </c>
      <c r="I37" s="8" t="s">
        <v>49</v>
      </c>
      <c r="J37" s="8" t="s">
        <v>73</v>
      </c>
    </row>
    <row r="38" spans="1:10" ht="39" customHeight="1">
      <c r="A38" s="8">
        <v>38</v>
      </c>
      <c r="B38" s="9" t="s">
        <v>107</v>
      </c>
      <c r="C38" s="8" t="s">
        <v>197</v>
      </c>
      <c r="D38" s="9" t="s">
        <v>198</v>
      </c>
      <c r="E38" s="9" t="s">
        <v>199</v>
      </c>
      <c r="F38" s="9" t="s">
        <v>54</v>
      </c>
      <c r="G38" s="9" t="s">
        <v>200</v>
      </c>
      <c r="H38" s="9" t="s">
        <v>200</v>
      </c>
      <c r="I38" s="8" t="s">
        <v>49</v>
      </c>
      <c r="J38" s="8" t="s">
        <v>56</v>
      </c>
    </row>
    <row r="39" spans="1:10" ht="39" customHeight="1">
      <c r="A39" s="8">
        <v>39</v>
      </c>
      <c r="B39" s="9" t="s">
        <v>107</v>
      </c>
      <c r="C39" s="8" t="s">
        <v>201</v>
      </c>
      <c r="D39" s="9" t="s">
        <v>202</v>
      </c>
      <c r="E39" s="9" t="s">
        <v>203</v>
      </c>
      <c r="F39" s="9" t="s">
        <v>123</v>
      </c>
      <c r="G39" s="9" t="s">
        <v>204</v>
      </c>
      <c r="H39" s="9" t="s">
        <v>204</v>
      </c>
      <c r="I39" s="8" t="s">
        <v>49</v>
      </c>
      <c r="J39" s="8" t="s">
        <v>73</v>
      </c>
    </row>
    <row r="40" spans="1:10" ht="39" customHeight="1">
      <c r="A40" s="8">
        <v>40</v>
      </c>
      <c r="B40" s="9" t="s">
        <v>107</v>
      </c>
      <c r="C40" s="8" t="s">
        <v>205</v>
      </c>
      <c r="D40" s="9" t="s">
        <v>206</v>
      </c>
      <c r="E40" s="9" t="s">
        <v>207</v>
      </c>
      <c r="F40" s="9" t="s">
        <v>54</v>
      </c>
      <c r="G40" s="9" t="s">
        <v>208</v>
      </c>
      <c r="H40" s="9" t="s">
        <v>208</v>
      </c>
      <c r="I40" s="8" t="s">
        <v>49</v>
      </c>
      <c r="J40" s="8" t="s">
        <v>73</v>
      </c>
    </row>
    <row r="41" spans="1:10" ht="39" customHeight="1">
      <c r="A41" s="8">
        <v>41</v>
      </c>
      <c r="B41" s="9" t="s">
        <v>209</v>
      </c>
      <c r="C41" s="8" t="s">
        <v>210</v>
      </c>
      <c r="D41" s="9" t="s">
        <v>211</v>
      </c>
      <c r="E41" s="9" t="s">
        <v>212</v>
      </c>
      <c r="F41" s="9" t="s">
        <v>54</v>
      </c>
      <c r="G41" s="9" t="s">
        <v>213</v>
      </c>
      <c r="H41" s="9" t="s">
        <v>213</v>
      </c>
      <c r="I41" s="8" t="s">
        <v>49</v>
      </c>
      <c r="J41" s="8" t="s">
        <v>73</v>
      </c>
    </row>
    <row r="42" spans="1:10" ht="39" customHeight="1">
      <c r="A42" s="8">
        <v>42</v>
      </c>
      <c r="B42" s="9" t="s">
        <v>209</v>
      </c>
      <c r="C42" s="8" t="s">
        <v>214</v>
      </c>
      <c r="D42" s="9" t="s">
        <v>215</v>
      </c>
      <c r="E42" s="9" t="s">
        <v>216</v>
      </c>
      <c r="F42" s="9" t="s">
        <v>54</v>
      </c>
      <c r="G42" s="9" t="s">
        <v>217</v>
      </c>
      <c r="H42" s="9" t="s">
        <v>217</v>
      </c>
      <c r="I42" s="8" t="s">
        <v>49</v>
      </c>
      <c r="J42" s="8" t="s">
        <v>73</v>
      </c>
    </row>
    <row r="43" spans="1:10" ht="39" customHeight="1">
      <c r="A43" s="8">
        <v>43</v>
      </c>
      <c r="B43" s="9" t="s">
        <v>209</v>
      </c>
      <c r="C43" s="8" t="s">
        <v>218</v>
      </c>
      <c r="D43" s="9" t="s">
        <v>219</v>
      </c>
      <c r="E43" s="9" t="s">
        <v>220</v>
      </c>
      <c r="F43" s="9" t="s">
        <v>54</v>
      </c>
      <c r="G43" s="9" t="s">
        <v>221</v>
      </c>
      <c r="H43" s="9" t="s">
        <v>221</v>
      </c>
      <c r="I43" s="8" t="s">
        <v>49</v>
      </c>
      <c r="J43" s="8" t="s">
        <v>73</v>
      </c>
    </row>
    <row r="44" spans="1:10" ht="39" customHeight="1">
      <c r="A44" s="8">
        <v>44</v>
      </c>
      <c r="B44" s="9" t="s">
        <v>209</v>
      </c>
      <c r="C44" s="8" t="s">
        <v>222</v>
      </c>
      <c r="D44" s="9" t="s">
        <v>223</v>
      </c>
      <c r="E44" s="9" t="s">
        <v>224</v>
      </c>
      <c r="F44" s="9" t="s">
        <v>54</v>
      </c>
      <c r="G44" s="9" t="s">
        <v>225</v>
      </c>
      <c r="H44" s="9" t="s">
        <v>225</v>
      </c>
      <c r="I44" s="8" t="s">
        <v>49</v>
      </c>
      <c r="J44" s="8" t="s">
        <v>73</v>
      </c>
    </row>
    <row r="45" spans="1:10" ht="39" customHeight="1">
      <c r="A45" s="8">
        <v>45</v>
      </c>
      <c r="B45" s="9" t="s">
        <v>209</v>
      </c>
      <c r="C45" s="8" t="s">
        <v>226</v>
      </c>
      <c r="D45" s="9" t="s">
        <v>227</v>
      </c>
      <c r="E45" s="9" t="s">
        <v>228</v>
      </c>
      <c r="F45" s="9" t="s">
        <v>54</v>
      </c>
      <c r="G45" s="9" t="s">
        <v>229</v>
      </c>
      <c r="H45" s="9" t="s">
        <v>229</v>
      </c>
      <c r="I45" s="8" t="s">
        <v>49</v>
      </c>
      <c r="J45" s="8" t="s">
        <v>50</v>
      </c>
    </row>
    <row r="46" spans="1:10" ht="39" customHeight="1">
      <c r="A46" s="8">
        <v>46</v>
      </c>
      <c r="B46" s="9" t="s">
        <v>209</v>
      </c>
      <c r="C46" s="8" t="s">
        <v>230</v>
      </c>
      <c r="D46" s="9" t="s">
        <v>231</v>
      </c>
      <c r="E46" s="9" t="s">
        <v>232</v>
      </c>
      <c r="F46" s="9" t="s">
        <v>54</v>
      </c>
      <c r="G46" s="9" t="s">
        <v>233</v>
      </c>
      <c r="H46" s="9" t="s">
        <v>233</v>
      </c>
      <c r="I46" s="8" t="s">
        <v>49</v>
      </c>
      <c r="J46" s="8" t="s">
        <v>50</v>
      </c>
    </row>
    <row r="47" spans="1:10" ht="39" customHeight="1">
      <c r="A47" s="8">
        <v>47</v>
      </c>
      <c r="B47" s="9" t="s">
        <v>209</v>
      </c>
      <c r="C47" s="8" t="s">
        <v>234</v>
      </c>
      <c r="D47" s="9" t="s">
        <v>235</v>
      </c>
      <c r="E47" s="9" t="s">
        <v>236</v>
      </c>
      <c r="F47" s="9" t="s">
        <v>54</v>
      </c>
      <c r="G47" s="9" t="s">
        <v>237</v>
      </c>
      <c r="H47" s="9" t="s">
        <v>237</v>
      </c>
      <c r="I47" s="8" t="s">
        <v>49</v>
      </c>
      <c r="J47" s="8" t="s">
        <v>73</v>
      </c>
    </row>
    <row r="48" spans="1:10" ht="39" customHeight="1">
      <c r="A48" s="8">
        <v>48</v>
      </c>
      <c r="B48" s="9" t="s">
        <v>209</v>
      </c>
      <c r="C48" s="8" t="s">
        <v>238</v>
      </c>
      <c r="D48" s="9" t="s">
        <v>239</v>
      </c>
      <c r="E48" s="9" t="s">
        <v>240</v>
      </c>
      <c r="F48" s="9" t="s">
        <v>54</v>
      </c>
      <c r="G48" s="9" t="s">
        <v>241</v>
      </c>
      <c r="H48" s="9" t="s">
        <v>241</v>
      </c>
      <c r="I48" s="8" t="s">
        <v>49</v>
      </c>
      <c r="J48" s="8" t="s">
        <v>73</v>
      </c>
    </row>
    <row r="49" spans="1:10" ht="39" customHeight="1">
      <c r="A49" s="8">
        <v>49</v>
      </c>
      <c r="B49" s="9" t="s">
        <v>209</v>
      </c>
      <c r="C49" s="8" t="s">
        <v>242</v>
      </c>
      <c r="D49" s="9" t="s">
        <v>243</v>
      </c>
      <c r="E49" s="9" t="s">
        <v>244</v>
      </c>
      <c r="F49" s="9" t="s">
        <v>54</v>
      </c>
      <c r="G49" s="9" t="s">
        <v>245</v>
      </c>
      <c r="H49" s="9" t="s">
        <v>245</v>
      </c>
      <c r="I49" s="8" t="s">
        <v>49</v>
      </c>
      <c r="J49" s="8" t="s">
        <v>73</v>
      </c>
    </row>
    <row r="50" spans="1:10" ht="39" customHeight="1">
      <c r="A50" s="8">
        <v>50</v>
      </c>
      <c r="B50" s="9" t="s">
        <v>209</v>
      </c>
      <c r="C50" s="8" t="s">
        <v>246</v>
      </c>
      <c r="D50" s="9" t="s">
        <v>247</v>
      </c>
      <c r="E50" s="9" t="s">
        <v>248</v>
      </c>
      <c r="F50" s="9" t="s">
        <v>54</v>
      </c>
      <c r="G50" s="9" t="s">
        <v>249</v>
      </c>
      <c r="H50" s="9" t="s">
        <v>249</v>
      </c>
      <c r="I50" s="8" t="s">
        <v>49</v>
      </c>
      <c r="J50" s="8" t="s">
        <v>73</v>
      </c>
    </row>
    <row r="51" spans="1:10" ht="39" customHeight="1">
      <c r="A51" s="8">
        <v>51</v>
      </c>
      <c r="B51" s="9" t="s">
        <v>209</v>
      </c>
      <c r="C51" s="8" t="s">
        <v>250</v>
      </c>
      <c r="D51" s="9" t="s">
        <v>251</v>
      </c>
      <c r="E51" s="9" t="s">
        <v>252</v>
      </c>
      <c r="F51" s="9" t="s">
        <v>54</v>
      </c>
      <c r="G51" s="9" t="s">
        <v>253</v>
      </c>
      <c r="H51" s="9" t="s">
        <v>253</v>
      </c>
      <c r="I51" s="8" t="s">
        <v>49</v>
      </c>
      <c r="J51" s="8" t="s">
        <v>73</v>
      </c>
    </row>
    <row r="52" spans="1:10" ht="39" customHeight="1">
      <c r="A52" s="8">
        <v>52</v>
      </c>
      <c r="B52" s="9" t="s">
        <v>209</v>
      </c>
      <c r="C52" s="8" t="s">
        <v>254</v>
      </c>
      <c r="D52" s="9" t="s">
        <v>255</v>
      </c>
      <c r="E52" s="9" t="s">
        <v>256</v>
      </c>
      <c r="F52" s="9" t="s">
        <v>54</v>
      </c>
      <c r="G52" s="9" t="s">
        <v>257</v>
      </c>
      <c r="H52" s="9" t="s">
        <v>257</v>
      </c>
      <c r="I52" s="8" t="s">
        <v>49</v>
      </c>
      <c r="J52" s="8" t="s">
        <v>73</v>
      </c>
    </row>
    <row r="53" spans="1:10" ht="39" customHeight="1">
      <c r="A53" s="8">
        <v>53</v>
      </c>
      <c r="B53" s="9" t="s">
        <v>209</v>
      </c>
      <c r="C53" s="8" t="s">
        <v>258</v>
      </c>
      <c r="D53" s="9" t="s">
        <v>259</v>
      </c>
      <c r="E53" s="9" t="s">
        <v>260</v>
      </c>
      <c r="F53" s="9" t="s">
        <v>54</v>
      </c>
      <c r="G53" s="9" t="s">
        <v>261</v>
      </c>
      <c r="H53" s="9" t="s">
        <v>261</v>
      </c>
      <c r="I53" s="8" t="s">
        <v>49</v>
      </c>
      <c r="J53" s="8" t="s">
        <v>73</v>
      </c>
    </row>
    <row r="54" spans="1:10" ht="39" customHeight="1">
      <c r="A54" s="8">
        <v>54</v>
      </c>
      <c r="B54" s="9" t="s">
        <v>209</v>
      </c>
      <c r="C54" s="8" t="s">
        <v>262</v>
      </c>
      <c r="D54" s="9" t="s">
        <v>263</v>
      </c>
      <c r="E54" s="9" t="s">
        <v>264</v>
      </c>
      <c r="F54" s="9" t="s">
        <v>54</v>
      </c>
      <c r="G54" s="9" t="s">
        <v>265</v>
      </c>
      <c r="H54" s="9" t="s">
        <v>265</v>
      </c>
      <c r="I54" s="8" t="s">
        <v>49</v>
      </c>
      <c r="J54" s="8" t="s">
        <v>73</v>
      </c>
    </row>
    <row r="55" spans="1:10" ht="39" customHeight="1">
      <c r="A55" s="8">
        <v>55</v>
      </c>
      <c r="B55" s="9" t="s">
        <v>209</v>
      </c>
      <c r="C55" s="8" t="s">
        <v>266</v>
      </c>
      <c r="D55" s="9" t="s">
        <v>267</v>
      </c>
      <c r="E55" s="9" t="s">
        <v>268</v>
      </c>
      <c r="F55" s="9" t="s">
        <v>54</v>
      </c>
      <c r="G55" s="9" t="s">
        <v>213</v>
      </c>
      <c r="H55" s="9" t="s">
        <v>213</v>
      </c>
      <c r="I55" s="8" t="s">
        <v>49</v>
      </c>
      <c r="J55" s="8" t="s">
        <v>73</v>
      </c>
    </row>
    <row r="56" spans="1:10" ht="39" customHeight="1">
      <c r="A56" s="8">
        <v>56</v>
      </c>
      <c r="B56" s="9" t="s">
        <v>209</v>
      </c>
      <c r="C56" s="8" t="s">
        <v>269</v>
      </c>
      <c r="D56" s="9" t="s">
        <v>270</v>
      </c>
      <c r="E56" s="9" t="s">
        <v>271</v>
      </c>
      <c r="F56" s="9" t="s">
        <v>54</v>
      </c>
      <c r="G56" s="9" t="s">
        <v>217</v>
      </c>
      <c r="H56" s="9" t="s">
        <v>217</v>
      </c>
      <c r="I56" s="8" t="s">
        <v>49</v>
      </c>
      <c r="J56" s="8" t="s">
        <v>73</v>
      </c>
    </row>
    <row r="57" spans="1:10" ht="39" customHeight="1">
      <c r="A57" s="8">
        <v>57</v>
      </c>
      <c r="B57" s="9" t="s">
        <v>209</v>
      </c>
      <c r="C57" s="8" t="s">
        <v>272</v>
      </c>
      <c r="D57" s="9" t="s">
        <v>273</v>
      </c>
      <c r="E57" s="9" t="s">
        <v>274</v>
      </c>
      <c r="F57" s="9" t="s">
        <v>54</v>
      </c>
      <c r="G57" s="9" t="s">
        <v>221</v>
      </c>
      <c r="H57" s="9" t="s">
        <v>221</v>
      </c>
      <c r="I57" s="8" t="s">
        <v>49</v>
      </c>
      <c r="J57" s="8" t="s">
        <v>73</v>
      </c>
    </row>
    <row r="58" spans="1:10" ht="39" customHeight="1">
      <c r="A58" s="8">
        <v>58</v>
      </c>
      <c r="B58" s="9" t="s">
        <v>209</v>
      </c>
      <c r="C58" s="8" t="s">
        <v>275</v>
      </c>
      <c r="D58" s="9" t="s">
        <v>276</v>
      </c>
      <c r="E58" s="9" t="s">
        <v>277</v>
      </c>
      <c r="F58" s="9" t="s">
        <v>54</v>
      </c>
      <c r="G58" s="9" t="s">
        <v>225</v>
      </c>
      <c r="H58" s="9" t="s">
        <v>225</v>
      </c>
      <c r="I58" s="8" t="s">
        <v>49</v>
      </c>
      <c r="J58" s="8" t="s">
        <v>73</v>
      </c>
    </row>
    <row r="59" spans="1:10" ht="39" customHeight="1">
      <c r="A59" s="8">
        <v>59</v>
      </c>
      <c r="B59" s="9" t="s">
        <v>209</v>
      </c>
      <c r="C59" s="8" t="s">
        <v>278</v>
      </c>
      <c r="D59" s="9" t="s">
        <v>279</v>
      </c>
      <c r="E59" s="9" t="s">
        <v>280</v>
      </c>
      <c r="F59" s="9" t="s">
        <v>54</v>
      </c>
      <c r="G59" s="9" t="s">
        <v>229</v>
      </c>
      <c r="H59" s="9" t="s">
        <v>229</v>
      </c>
      <c r="I59" s="8" t="s">
        <v>49</v>
      </c>
      <c r="J59" s="8" t="s">
        <v>50</v>
      </c>
    </row>
    <row r="60" spans="1:10" ht="39" customHeight="1">
      <c r="A60" s="8">
        <v>60</v>
      </c>
      <c r="B60" s="9" t="s">
        <v>209</v>
      </c>
      <c r="C60" s="8" t="s">
        <v>281</v>
      </c>
      <c r="D60" s="9" t="s">
        <v>282</v>
      </c>
      <c r="E60" s="9" t="s">
        <v>283</v>
      </c>
      <c r="F60" s="9" t="s">
        <v>54</v>
      </c>
      <c r="G60" s="9" t="s">
        <v>233</v>
      </c>
      <c r="H60" s="9" t="s">
        <v>233</v>
      </c>
      <c r="I60" s="8" t="s">
        <v>49</v>
      </c>
      <c r="J60" s="8" t="s">
        <v>50</v>
      </c>
    </row>
    <row r="61" spans="1:10" ht="39" customHeight="1">
      <c r="A61" s="8">
        <v>61</v>
      </c>
      <c r="B61" s="9" t="s">
        <v>209</v>
      </c>
      <c r="C61" s="8" t="s">
        <v>284</v>
      </c>
      <c r="D61" s="9" t="s">
        <v>285</v>
      </c>
      <c r="E61" s="9" t="s">
        <v>286</v>
      </c>
      <c r="F61" s="9" t="s">
        <v>54</v>
      </c>
      <c r="G61" s="9" t="s">
        <v>237</v>
      </c>
      <c r="H61" s="9" t="s">
        <v>237</v>
      </c>
      <c r="I61" s="8" t="s">
        <v>49</v>
      </c>
      <c r="J61" s="8" t="s">
        <v>73</v>
      </c>
    </row>
    <row r="62" spans="1:10" ht="39" customHeight="1">
      <c r="A62" s="8">
        <v>62</v>
      </c>
      <c r="B62" s="9" t="s">
        <v>209</v>
      </c>
      <c r="C62" s="8" t="s">
        <v>287</v>
      </c>
      <c r="D62" s="9" t="s">
        <v>288</v>
      </c>
      <c r="E62" s="9" t="s">
        <v>289</v>
      </c>
      <c r="F62" s="9" t="s">
        <v>54</v>
      </c>
      <c r="G62" s="9" t="s">
        <v>241</v>
      </c>
      <c r="H62" s="9" t="s">
        <v>241</v>
      </c>
      <c r="I62" s="8" t="s">
        <v>49</v>
      </c>
      <c r="J62" s="8" t="s">
        <v>73</v>
      </c>
    </row>
    <row r="63" spans="1:10" ht="39" customHeight="1">
      <c r="A63" s="8">
        <v>63</v>
      </c>
      <c r="B63" s="9" t="s">
        <v>209</v>
      </c>
      <c r="C63" s="8" t="s">
        <v>290</v>
      </c>
      <c r="D63" s="9" t="s">
        <v>291</v>
      </c>
      <c r="E63" s="9" t="s">
        <v>292</v>
      </c>
      <c r="F63" s="9" t="s">
        <v>54</v>
      </c>
      <c r="G63" s="9" t="s">
        <v>245</v>
      </c>
      <c r="H63" s="9" t="s">
        <v>245</v>
      </c>
      <c r="I63" s="8" t="s">
        <v>49</v>
      </c>
      <c r="J63" s="8" t="s">
        <v>73</v>
      </c>
    </row>
    <row r="64" spans="1:10" ht="39" customHeight="1">
      <c r="A64" s="8">
        <v>64</v>
      </c>
      <c r="B64" s="9" t="s">
        <v>209</v>
      </c>
      <c r="C64" s="8" t="s">
        <v>293</v>
      </c>
      <c r="D64" s="9" t="s">
        <v>294</v>
      </c>
      <c r="E64" s="9" t="s">
        <v>295</v>
      </c>
      <c r="F64" s="9" t="s">
        <v>54</v>
      </c>
      <c r="G64" s="9" t="s">
        <v>249</v>
      </c>
      <c r="H64" s="9" t="s">
        <v>249</v>
      </c>
      <c r="I64" s="8" t="s">
        <v>49</v>
      </c>
      <c r="J64" s="8" t="s">
        <v>73</v>
      </c>
    </row>
    <row r="65" spans="1:10" ht="39" customHeight="1">
      <c r="A65" s="8">
        <v>65</v>
      </c>
      <c r="B65" s="9" t="s">
        <v>209</v>
      </c>
      <c r="C65" s="8" t="s">
        <v>296</v>
      </c>
      <c r="D65" s="9" t="s">
        <v>297</v>
      </c>
      <c r="E65" s="9" t="s">
        <v>298</v>
      </c>
      <c r="F65" s="9" t="s">
        <v>54</v>
      </c>
      <c r="G65" s="9" t="s">
        <v>253</v>
      </c>
      <c r="H65" s="9" t="s">
        <v>253</v>
      </c>
      <c r="I65" s="8" t="s">
        <v>49</v>
      </c>
      <c r="J65" s="8" t="s">
        <v>73</v>
      </c>
    </row>
    <row r="66" spans="1:10" ht="39" customHeight="1">
      <c r="A66" s="8">
        <v>66</v>
      </c>
      <c r="B66" s="9" t="s">
        <v>209</v>
      </c>
      <c r="C66" s="8" t="s">
        <v>299</v>
      </c>
      <c r="D66" s="9" t="s">
        <v>300</v>
      </c>
      <c r="E66" s="9" t="s">
        <v>301</v>
      </c>
      <c r="F66" s="9" t="s">
        <v>54</v>
      </c>
      <c r="G66" s="9" t="s">
        <v>257</v>
      </c>
      <c r="H66" s="9" t="s">
        <v>257</v>
      </c>
      <c r="I66" s="8" t="s">
        <v>49</v>
      </c>
      <c r="J66" s="8" t="s">
        <v>73</v>
      </c>
    </row>
    <row r="67" spans="1:10" ht="39" customHeight="1">
      <c r="A67" s="8">
        <v>67</v>
      </c>
      <c r="B67" s="9" t="s">
        <v>209</v>
      </c>
      <c r="C67" s="8" t="s">
        <v>302</v>
      </c>
      <c r="D67" s="9" t="s">
        <v>303</v>
      </c>
      <c r="E67" s="9" t="s">
        <v>304</v>
      </c>
      <c r="F67" s="9" t="s">
        <v>54</v>
      </c>
      <c r="G67" s="9" t="s">
        <v>261</v>
      </c>
      <c r="H67" s="9" t="s">
        <v>261</v>
      </c>
      <c r="I67" s="8" t="s">
        <v>49</v>
      </c>
      <c r="J67" s="8" t="s">
        <v>73</v>
      </c>
    </row>
    <row r="68" spans="1:10" ht="39" customHeight="1">
      <c r="A68" s="8">
        <v>68</v>
      </c>
      <c r="B68" s="9" t="s">
        <v>209</v>
      </c>
      <c r="C68" s="8" t="s">
        <v>305</v>
      </c>
      <c r="D68" s="9" t="s">
        <v>306</v>
      </c>
      <c r="E68" s="9" t="s">
        <v>307</v>
      </c>
      <c r="F68" s="9" t="s">
        <v>54</v>
      </c>
      <c r="G68" s="9" t="s">
        <v>265</v>
      </c>
      <c r="H68" s="9" t="s">
        <v>265</v>
      </c>
      <c r="I68" s="8" t="s">
        <v>49</v>
      </c>
      <c r="J68" s="8" t="s">
        <v>73</v>
      </c>
    </row>
    <row r="69" spans="1:10" ht="39" customHeight="1">
      <c r="A69" s="8">
        <v>69</v>
      </c>
      <c r="B69" s="9" t="s">
        <v>209</v>
      </c>
      <c r="C69" s="8" t="s">
        <v>308</v>
      </c>
      <c r="D69" s="9" t="s">
        <v>309</v>
      </c>
      <c r="E69" s="9" t="s">
        <v>310</v>
      </c>
      <c r="F69" s="9" t="s">
        <v>54</v>
      </c>
      <c r="G69" s="9" t="s">
        <v>213</v>
      </c>
      <c r="H69" s="9" t="s">
        <v>213</v>
      </c>
      <c r="I69" s="8" t="s">
        <v>49</v>
      </c>
      <c r="J69" s="8" t="s">
        <v>73</v>
      </c>
    </row>
    <row r="70" spans="1:10" ht="39" customHeight="1">
      <c r="A70" s="8">
        <v>70</v>
      </c>
      <c r="B70" s="9" t="s">
        <v>209</v>
      </c>
      <c r="C70" s="8" t="s">
        <v>311</v>
      </c>
      <c r="D70" s="9" t="s">
        <v>312</v>
      </c>
      <c r="E70" s="9" t="s">
        <v>313</v>
      </c>
      <c r="F70" s="9" t="s">
        <v>54</v>
      </c>
      <c r="G70" s="9" t="s">
        <v>217</v>
      </c>
      <c r="H70" s="9" t="s">
        <v>217</v>
      </c>
      <c r="I70" s="8" t="s">
        <v>49</v>
      </c>
      <c r="J70" s="8" t="s">
        <v>73</v>
      </c>
    </row>
    <row r="71" spans="1:10" ht="39" customHeight="1">
      <c r="A71" s="8">
        <v>71</v>
      </c>
      <c r="B71" s="9" t="s">
        <v>209</v>
      </c>
      <c r="C71" s="8" t="s">
        <v>314</v>
      </c>
      <c r="D71" s="9" t="s">
        <v>315</v>
      </c>
      <c r="E71" s="9" t="s">
        <v>316</v>
      </c>
      <c r="F71" s="9" t="s">
        <v>54</v>
      </c>
      <c r="G71" s="9" t="s">
        <v>221</v>
      </c>
      <c r="H71" s="9" t="s">
        <v>221</v>
      </c>
      <c r="I71" s="8" t="s">
        <v>49</v>
      </c>
      <c r="J71" s="8" t="s">
        <v>73</v>
      </c>
    </row>
    <row r="72" spans="1:10" ht="39" customHeight="1">
      <c r="A72" s="8">
        <v>72</v>
      </c>
      <c r="B72" s="9" t="s">
        <v>209</v>
      </c>
      <c r="C72" s="8" t="s">
        <v>317</v>
      </c>
      <c r="D72" s="9" t="s">
        <v>318</v>
      </c>
      <c r="E72" s="9" t="s">
        <v>319</v>
      </c>
      <c r="F72" s="9" t="s">
        <v>54</v>
      </c>
      <c r="G72" s="9" t="s">
        <v>225</v>
      </c>
      <c r="H72" s="9" t="s">
        <v>225</v>
      </c>
      <c r="I72" s="8" t="s">
        <v>49</v>
      </c>
      <c r="J72" s="8" t="s">
        <v>73</v>
      </c>
    </row>
    <row r="73" spans="1:10" ht="39" customHeight="1">
      <c r="A73" s="8">
        <v>73</v>
      </c>
      <c r="B73" s="9" t="s">
        <v>209</v>
      </c>
      <c r="C73" s="8" t="s">
        <v>320</v>
      </c>
      <c r="D73" s="9" t="s">
        <v>321</v>
      </c>
      <c r="E73" s="9" t="s">
        <v>322</v>
      </c>
      <c r="F73" s="9" t="s">
        <v>54</v>
      </c>
      <c r="G73" s="9" t="s">
        <v>229</v>
      </c>
      <c r="H73" s="9" t="s">
        <v>229</v>
      </c>
      <c r="I73" s="8" t="s">
        <v>49</v>
      </c>
      <c r="J73" s="8" t="s">
        <v>50</v>
      </c>
    </row>
    <row r="74" spans="1:10" ht="39" customHeight="1">
      <c r="A74" s="8">
        <v>74</v>
      </c>
      <c r="B74" s="9" t="s">
        <v>209</v>
      </c>
      <c r="C74" s="8" t="s">
        <v>323</v>
      </c>
      <c r="D74" s="9" t="s">
        <v>324</v>
      </c>
      <c r="E74" s="9" t="s">
        <v>325</v>
      </c>
      <c r="F74" s="9" t="s">
        <v>54</v>
      </c>
      <c r="G74" s="9" t="s">
        <v>233</v>
      </c>
      <c r="H74" s="9" t="s">
        <v>233</v>
      </c>
      <c r="I74" s="8" t="s">
        <v>49</v>
      </c>
      <c r="J74" s="8" t="s">
        <v>50</v>
      </c>
    </row>
    <row r="75" spans="1:10" ht="39" customHeight="1">
      <c r="A75" s="8">
        <v>75</v>
      </c>
      <c r="B75" s="9" t="s">
        <v>209</v>
      </c>
      <c r="C75" s="8" t="s">
        <v>326</v>
      </c>
      <c r="D75" s="9" t="s">
        <v>327</v>
      </c>
      <c r="E75" s="9" t="s">
        <v>328</v>
      </c>
      <c r="F75" s="9" t="s">
        <v>54</v>
      </c>
      <c r="G75" s="9" t="s">
        <v>237</v>
      </c>
      <c r="H75" s="9" t="s">
        <v>237</v>
      </c>
      <c r="I75" s="8" t="s">
        <v>49</v>
      </c>
      <c r="J75" s="8" t="s">
        <v>73</v>
      </c>
    </row>
    <row r="76" spans="1:10" ht="39" customHeight="1">
      <c r="A76" s="8">
        <v>76</v>
      </c>
      <c r="B76" s="9" t="s">
        <v>209</v>
      </c>
      <c r="C76" s="8" t="s">
        <v>329</v>
      </c>
      <c r="D76" s="9" t="s">
        <v>330</v>
      </c>
      <c r="E76" s="9" t="s">
        <v>331</v>
      </c>
      <c r="F76" s="9" t="s">
        <v>54</v>
      </c>
      <c r="G76" s="9" t="s">
        <v>241</v>
      </c>
      <c r="H76" s="9" t="s">
        <v>241</v>
      </c>
      <c r="I76" s="8" t="s">
        <v>49</v>
      </c>
      <c r="J76" s="8" t="s">
        <v>73</v>
      </c>
    </row>
    <row r="77" spans="1:10" ht="39" customHeight="1">
      <c r="A77" s="8">
        <v>77</v>
      </c>
      <c r="B77" s="9" t="s">
        <v>209</v>
      </c>
      <c r="C77" s="8" t="s">
        <v>332</v>
      </c>
      <c r="D77" s="9" t="s">
        <v>333</v>
      </c>
      <c r="E77" s="9" t="s">
        <v>334</v>
      </c>
      <c r="F77" s="9" t="s">
        <v>54</v>
      </c>
      <c r="G77" s="9" t="s">
        <v>245</v>
      </c>
      <c r="H77" s="9" t="s">
        <v>245</v>
      </c>
      <c r="I77" s="8" t="s">
        <v>49</v>
      </c>
      <c r="J77" s="8" t="s">
        <v>73</v>
      </c>
    </row>
    <row r="78" spans="1:10" ht="39" customHeight="1">
      <c r="A78" s="8">
        <v>78</v>
      </c>
      <c r="B78" s="9" t="s">
        <v>209</v>
      </c>
      <c r="C78" s="8" t="s">
        <v>335</v>
      </c>
      <c r="D78" s="9" t="s">
        <v>336</v>
      </c>
      <c r="E78" s="9" t="s">
        <v>337</v>
      </c>
      <c r="F78" s="9" t="s">
        <v>54</v>
      </c>
      <c r="G78" s="9" t="s">
        <v>249</v>
      </c>
      <c r="H78" s="9" t="s">
        <v>249</v>
      </c>
      <c r="I78" s="8" t="s">
        <v>49</v>
      </c>
      <c r="J78" s="8" t="s">
        <v>73</v>
      </c>
    </row>
    <row r="79" spans="1:10" ht="39" customHeight="1">
      <c r="A79" s="8">
        <v>79</v>
      </c>
      <c r="B79" s="9" t="s">
        <v>209</v>
      </c>
      <c r="C79" s="8" t="s">
        <v>338</v>
      </c>
      <c r="D79" s="9" t="s">
        <v>339</v>
      </c>
      <c r="E79" s="9" t="s">
        <v>340</v>
      </c>
      <c r="F79" s="9" t="s">
        <v>54</v>
      </c>
      <c r="G79" s="9" t="s">
        <v>253</v>
      </c>
      <c r="H79" s="9" t="s">
        <v>253</v>
      </c>
      <c r="I79" s="8" t="s">
        <v>49</v>
      </c>
      <c r="J79" s="8" t="s">
        <v>73</v>
      </c>
    </row>
    <row r="80" spans="1:10" ht="39" customHeight="1">
      <c r="A80" s="8">
        <v>80</v>
      </c>
      <c r="B80" s="9" t="s">
        <v>209</v>
      </c>
      <c r="C80" s="8" t="s">
        <v>341</v>
      </c>
      <c r="D80" s="9" t="s">
        <v>342</v>
      </c>
      <c r="E80" s="9" t="s">
        <v>343</v>
      </c>
      <c r="F80" s="9" t="s">
        <v>54</v>
      </c>
      <c r="G80" s="9" t="s">
        <v>257</v>
      </c>
      <c r="H80" s="9" t="s">
        <v>257</v>
      </c>
      <c r="I80" s="8" t="s">
        <v>49</v>
      </c>
      <c r="J80" s="8" t="s">
        <v>73</v>
      </c>
    </row>
    <row r="81" spans="1:10" ht="39" customHeight="1">
      <c r="A81" s="8">
        <v>81</v>
      </c>
      <c r="B81" s="9" t="s">
        <v>209</v>
      </c>
      <c r="C81" s="8" t="s">
        <v>344</v>
      </c>
      <c r="D81" s="9" t="s">
        <v>345</v>
      </c>
      <c r="E81" s="9" t="s">
        <v>346</v>
      </c>
      <c r="F81" s="9" t="s">
        <v>54</v>
      </c>
      <c r="G81" s="9" t="s">
        <v>261</v>
      </c>
      <c r="H81" s="9" t="s">
        <v>261</v>
      </c>
      <c r="I81" s="8" t="s">
        <v>49</v>
      </c>
      <c r="J81" s="8" t="s">
        <v>73</v>
      </c>
    </row>
    <row r="82" spans="1:10" ht="39" customHeight="1">
      <c r="A82" s="8">
        <v>82</v>
      </c>
      <c r="B82" s="9" t="s">
        <v>209</v>
      </c>
      <c r="C82" s="8" t="s">
        <v>347</v>
      </c>
      <c r="D82" s="9" t="s">
        <v>348</v>
      </c>
      <c r="E82" s="9" t="s">
        <v>349</v>
      </c>
      <c r="F82" s="9" t="s">
        <v>54</v>
      </c>
      <c r="G82" s="9" t="s">
        <v>265</v>
      </c>
      <c r="H82" s="9" t="s">
        <v>265</v>
      </c>
      <c r="I82" s="8" t="s">
        <v>49</v>
      </c>
      <c r="J82" s="8" t="s">
        <v>73</v>
      </c>
    </row>
    <row r="83" spans="1:10" ht="39" customHeight="1">
      <c r="A83" s="8">
        <v>83</v>
      </c>
      <c r="B83" s="9" t="s">
        <v>350</v>
      </c>
      <c r="C83" s="8" t="s">
        <v>351</v>
      </c>
      <c r="D83" s="9" t="s">
        <v>352</v>
      </c>
      <c r="E83" s="9" t="s">
        <v>353</v>
      </c>
      <c r="F83" s="9" t="s">
        <v>123</v>
      </c>
      <c r="G83" s="9" t="s">
        <v>354</v>
      </c>
      <c r="H83" s="9" t="s">
        <v>354</v>
      </c>
      <c r="I83" s="8" t="s">
        <v>49</v>
      </c>
      <c r="J83" s="8" t="s">
        <v>50</v>
      </c>
    </row>
    <row r="84" spans="1:10" ht="26.25" customHeight="1">
      <c r="A84" s="8">
        <v>84</v>
      </c>
      <c r="B84" s="9" t="s">
        <v>350</v>
      </c>
      <c r="C84" s="8" t="s">
        <v>355</v>
      </c>
      <c r="D84" s="9" t="s">
        <v>356</v>
      </c>
      <c r="E84" s="9" t="s">
        <v>357</v>
      </c>
      <c r="F84" s="9" t="s">
        <v>123</v>
      </c>
      <c r="G84" s="9" t="s">
        <v>358</v>
      </c>
      <c r="H84" s="9" t="s">
        <v>358</v>
      </c>
      <c r="I84" s="8" t="s">
        <v>49</v>
      </c>
      <c r="J84" s="8" t="s">
        <v>50</v>
      </c>
    </row>
    <row r="85" spans="1:10" ht="26.25" customHeight="1">
      <c r="A85" s="8">
        <v>85</v>
      </c>
      <c r="B85" s="9" t="s">
        <v>350</v>
      </c>
      <c r="C85" s="8" t="s">
        <v>359</v>
      </c>
      <c r="D85" s="9" t="s">
        <v>360</v>
      </c>
      <c r="E85" s="9" t="s">
        <v>361</v>
      </c>
      <c r="F85" s="9" t="s">
        <v>362</v>
      </c>
      <c r="G85" s="9" t="s">
        <v>363</v>
      </c>
      <c r="H85" s="9" t="s">
        <v>363</v>
      </c>
      <c r="I85" s="8" t="s">
        <v>49</v>
      </c>
      <c r="J85" s="8" t="s">
        <v>50</v>
      </c>
    </row>
    <row r="86" spans="1:10" ht="26.25" customHeight="1">
      <c r="A86" s="8">
        <v>86</v>
      </c>
      <c r="B86" s="9" t="s">
        <v>350</v>
      </c>
      <c r="C86" s="8" t="s">
        <v>364</v>
      </c>
      <c r="D86" s="9" t="s">
        <v>365</v>
      </c>
      <c r="E86" s="9" t="s">
        <v>366</v>
      </c>
      <c r="F86" s="9" t="s">
        <v>362</v>
      </c>
      <c r="G86" s="9" t="s">
        <v>367</v>
      </c>
      <c r="H86" s="9" t="s">
        <v>367</v>
      </c>
      <c r="I86" s="8" t="s">
        <v>49</v>
      </c>
      <c r="J86" s="8" t="s">
        <v>50</v>
      </c>
    </row>
    <row r="87" spans="1:10" ht="26.25" customHeight="1">
      <c r="A87" s="8">
        <v>87</v>
      </c>
      <c r="B87" s="9" t="s">
        <v>350</v>
      </c>
      <c r="C87" s="8" t="s">
        <v>368</v>
      </c>
      <c r="D87" s="9" t="s">
        <v>369</v>
      </c>
      <c r="E87" s="9" t="s">
        <v>370</v>
      </c>
      <c r="F87" s="9" t="s">
        <v>362</v>
      </c>
      <c r="G87" s="9" t="s">
        <v>371</v>
      </c>
      <c r="H87" s="9" t="s">
        <v>371</v>
      </c>
      <c r="I87" s="8" t="s">
        <v>49</v>
      </c>
      <c r="J87" s="8" t="s">
        <v>73</v>
      </c>
    </row>
    <row r="88" spans="1:10" ht="26.25" customHeight="1">
      <c r="A88" s="8">
        <v>88</v>
      </c>
      <c r="B88" s="9" t="s">
        <v>350</v>
      </c>
      <c r="C88" s="8" t="s">
        <v>372</v>
      </c>
      <c r="D88" s="9" t="s">
        <v>373</v>
      </c>
      <c r="E88" s="9" t="s">
        <v>374</v>
      </c>
      <c r="F88" s="9" t="s">
        <v>362</v>
      </c>
      <c r="G88" s="9" t="s">
        <v>375</v>
      </c>
      <c r="H88" s="9" t="s">
        <v>375</v>
      </c>
      <c r="I88" s="8" t="s">
        <v>49</v>
      </c>
      <c r="J88" s="8" t="s">
        <v>73</v>
      </c>
    </row>
    <row r="89" spans="1:10" ht="39" customHeight="1">
      <c r="A89" s="8">
        <v>89</v>
      </c>
      <c r="B89" s="9" t="s">
        <v>350</v>
      </c>
      <c r="C89" s="8" t="s">
        <v>376</v>
      </c>
      <c r="D89" s="9" t="s">
        <v>377</v>
      </c>
      <c r="E89" s="9" t="s">
        <v>374</v>
      </c>
      <c r="F89" s="9" t="s">
        <v>362</v>
      </c>
      <c r="G89" s="9" t="s">
        <v>378</v>
      </c>
      <c r="H89" s="9" t="s">
        <v>378</v>
      </c>
      <c r="I89" s="8" t="s">
        <v>49</v>
      </c>
      <c r="J89" s="8" t="s">
        <v>73</v>
      </c>
    </row>
    <row r="90" spans="1:10" ht="39" customHeight="1">
      <c r="A90" s="8">
        <v>90</v>
      </c>
      <c r="B90" s="9" t="s">
        <v>350</v>
      </c>
      <c r="C90" s="8" t="s">
        <v>379</v>
      </c>
      <c r="D90" s="9" t="s">
        <v>380</v>
      </c>
      <c r="E90" s="9" t="s">
        <v>381</v>
      </c>
      <c r="F90" s="9" t="s">
        <v>123</v>
      </c>
      <c r="G90" s="9" t="s">
        <v>382</v>
      </c>
      <c r="H90" s="9" t="s">
        <v>382</v>
      </c>
      <c r="I90" s="8" t="s">
        <v>49</v>
      </c>
      <c r="J90" s="8" t="s">
        <v>50</v>
      </c>
    </row>
    <row r="91" spans="1:10" ht="26.25" customHeight="1">
      <c r="A91" s="8">
        <v>91</v>
      </c>
      <c r="B91" s="9" t="s">
        <v>350</v>
      </c>
      <c r="C91" s="8" t="s">
        <v>383</v>
      </c>
      <c r="D91" s="9" t="s">
        <v>384</v>
      </c>
      <c r="E91" s="9" t="s">
        <v>385</v>
      </c>
      <c r="F91" s="9" t="s">
        <v>123</v>
      </c>
      <c r="G91" s="9" t="s">
        <v>386</v>
      </c>
      <c r="H91" s="9" t="s">
        <v>386</v>
      </c>
      <c r="I91" s="8" t="s">
        <v>49</v>
      </c>
      <c r="J91" s="8" t="s">
        <v>50</v>
      </c>
    </row>
    <row r="92" spans="1:10" ht="39" customHeight="1">
      <c r="A92" s="8">
        <v>92</v>
      </c>
      <c r="B92" s="9" t="s">
        <v>350</v>
      </c>
      <c r="C92" s="8" t="s">
        <v>387</v>
      </c>
      <c r="D92" s="9" t="s">
        <v>388</v>
      </c>
      <c r="E92" s="9" t="s">
        <v>389</v>
      </c>
      <c r="F92" s="9" t="s">
        <v>362</v>
      </c>
      <c r="G92" s="9" t="s">
        <v>390</v>
      </c>
      <c r="H92" s="9" t="s">
        <v>390</v>
      </c>
      <c r="I92" s="8" t="s">
        <v>49</v>
      </c>
      <c r="J92" s="8" t="s">
        <v>73</v>
      </c>
    </row>
    <row r="93" spans="1:10" ht="39" customHeight="1">
      <c r="A93" s="8">
        <v>93</v>
      </c>
      <c r="B93" s="9" t="s">
        <v>350</v>
      </c>
      <c r="C93" s="8" t="s">
        <v>391</v>
      </c>
      <c r="D93" s="9" t="s">
        <v>392</v>
      </c>
      <c r="E93" s="9" t="s">
        <v>393</v>
      </c>
      <c r="F93" s="9" t="s">
        <v>54</v>
      </c>
      <c r="G93" s="9" t="s">
        <v>394</v>
      </c>
      <c r="H93" s="9" t="s">
        <v>394</v>
      </c>
      <c r="I93" s="8" t="s">
        <v>49</v>
      </c>
      <c r="J93" s="8" t="s">
        <v>73</v>
      </c>
    </row>
    <row r="94" spans="1:10" ht="39" customHeight="1">
      <c r="A94" s="8">
        <v>94</v>
      </c>
      <c r="B94" s="9" t="s">
        <v>350</v>
      </c>
      <c r="C94" s="8" t="s">
        <v>395</v>
      </c>
      <c r="D94" s="9" t="s">
        <v>396</v>
      </c>
      <c r="E94" s="9" t="s">
        <v>397</v>
      </c>
      <c r="F94" s="9" t="s">
        <v>54</v>
      </c>
      <c r="G94" s="9" t="s">
        <v>398</v>
      </c>
      <c r="H94" s="9" t="s">
        <v>398</v>
      </c>
      <c r="I94" s="8" t="s">
        <v>49</v>
      </c>
      <c r="J94" s="8" t="s">
        <v>73</v>
      </c>
    </row>
    <row r="95" spans="1:10" ht="39" customHeight="1">
      <c r="A95" s="8">
        <v>95</v>
      </c>
      <c r="B95" s="9" t="s">
        <v>350</v>
      </c>
      <c r="C95" s="8" t="s">
        <v>399</v>
      </c>
      <c r="D95" s="9" t="s">
        <v>400</v>
      </c>
      <c r="E95" s="9" t="s">
        <v>401</v>
      </c>
      <c r="F95" s="9" t="s">
        <v>123</v>
      </c>
      <c r="G95" s="9" t="s">
        <v>402</v>
      </c>
      <c r="H95" s="9" t="s">
        <v>402</v>
      </c>
      <c r="I95" s="8" t="s">
        <v>49</v>
      </c>
      <c r="J95" s="8" t="s">
        <v>50</v>
      </c>
    </row>
    <row r="96" spans="1:10" ht="39" customHeight="1">
      <c r="A96" s="8">
        <v>96</v>
      </c>
      <c r="B96" s="9" t="s">
        <v>350</v>
      </c>
      <c r="C96" s="8" t="s">
        <v>403</v>
      </c>
      <c r="D96" s="9" t="s">
        <v>404</v>
      </c>
      <c r="E96" s="9" t="s">
        <v>405</v>
      </c>
      <c r="F96" s="9" t="s">
        <v>123</v>
      </c>
      <c r="G96" s="9" t="s">
        <v>406</v>
      </c>
      <c r="H96" s="9" t="s">
        <v>406</v>
      </c>
      <c r="I96" s="8" t="s">
        <v>49</v>
      </c>
      <c r="J96" s="8" t="s">
        <v>73</v>
      </c>
    </row>
    <row r="97" spans="1:10" ht="26.25" customHeight="1">
      <c r="A97" s="8">
        <v>97</v>
      </c>
      <c r="B97" s="9" t="s">
        <v>350</v>
      </c>
      <c r="C97" s="8" t="s">
        <v>407</v>
      </c>
      <c r="D97" s="9" t="s">
        <v>408</v>
      </c>
      <c r="E97" s="9" t="s">
        <v>409</v>
      </c>
      <c r="F97" s="9" t="s">
        <v>123</v>
      </c>
      <c r="G97" s="9" t="s">
        <v>410</v>
      </c>
      <c r="H97" s="9" t="s">
        <v>410</v>
      </c>
      <c r="I97" s="8" t="s">
        <v>49</v>
      </c>
      <c r="J97" s="8" t="s">
        <v>73</v>
      </c>
    </row>
    <row r="98" spans="1:10" ht="39" customHeight="1">
      <c r="A98" s="8">
        <v>98</v>
      </c>
      <c r="B98" s="9" t="s">
        <v>350</v>
      </c>
      <c r="C98" s="8" t="s">
        <v>411</v>
      </c>
      <c r="D98" s="9" t="s">
        <v>412</v>
      </c>
      <c r="E98" s="9" t="s">
        <v>413</v>
      </c>
      <c r="F98" s="9" t="s">
        <v>362</v>
      </c>
      <c r="G98" s="9" t="s">
        <v>414</v>
      </c>
      <c r="H98" s="9" t="s">
        <v>414</v>
      </c>
      <c r="I98" s="8" t="s">
        <v>49</v>
      </c>
      <c r="J98" s="8" t="s">
        <v>73</v>
      </c>
    </row>
    <row r="99" spans="1:10" ht="39" customHeight="1">
      <c r="A99" s="8">
        <v>99</v>
      </c>
      <c r="B99" s="9" t="s">
        <v>350</v>
      </c>
      <c r="C99" s="8" t="s">
        <v>415</v>
      </c>
      <c r="D99" s="9" t="s">
        <v>416</v>
      </c>
      <c r="E99" s="9" t="s">
        <v>417</v>
      </c>
      <c r="F99" s="9" t="s">
        <v>123</v>
      </c>
      <c r="G99" s="9" t="s">
        <v>418</v>
      </c>
      <c r="H99" s="9" t="s">
        <v>418</v>
      </c>
      <c r="I99" s="8" t="s">
        <v>49</v>
      </c>
      <c r="J99" s="8" t="s">
        <v>50</v>
      </c>
    </row>
    <row r="100" spans="1:10" ht="39" customHeight="1">
      <c r="A100" s="8">
        <v>100</v>
      </c>
      <c r="B100" s="9" t="s">
        <v>350</v>
      </c>
      <c r="C100" s="8" t="s">
        <v>419</v>
      </c>
      <c r="D100" s="9" t="s">
        <v>420</v>
      </c>
      <c r="E100" s="9" t="s">
        <v>421</v>
      </c>
      <c r="F100" s="9" t="s">
        <v>123</v>
      </c>
      <c r="G100" s="9" t="s">
        <v>422</v>
      </c>
      <c r="H100" s="9" t="s">
        <v>422</v>
      </c>
      <c r="I100" s="8" t="s">
        <v>49</v>
      </c>
      <c r="J100" s="8" t="s">
        <v>50</v>
      </c>
    </row>
    <row r="101" spans="1:10" ht="39" customHeight="1">
      <c r="A101" s="8">
        <v>101</v>
      </c>
      <c r="B101" s="9" t="s">
        <v>350</v>
      </c>
      <c r="C101" s="8" t="s">
        <v>423</v>
      </c>
      <c r="D101" s="9" t="s">
        <v>424</v>
      </c>
      <c r="E101" s="9" t="s">
        <v>425</v>
      </c>
      <c r="F101" s="9" t="s">
        <v>54</v>
      </c>
      <c r="G101" s="9" t="s">
        <v>426</v>
      </c>
      <c r="H101" s="9" t="s">
        <v>426</v>
      </c>
      <c r="I101" s="8" t="s">
        <v>49</v>
      </c>
      <c r="J101" s="8" t="s">
        <v>56</v>
      </c>
    </row>
    <row r="102" spans="1:10" ht="26.25" customHeight="1">
      <c r="A102" s="8">
        <v>102</v>
      </c>
      <c r="B102" s="9" t="s">
        <v>350</v>
      </c>
      <c r="C102" s="8" t="s">
        <v>427</v>
      </c>
      <c r="D102" s="9" t="s">
        <v>428</v>
      </c>
      <c r="E102" s="9" t="s">
        <v>429</v>
      </c>
      <c r="F102" s="9" t="s">
        <v>54</v>
      </c>
      <c r="G102" s="9" t="s">
        <v>430</v>
      </c>
      <c r="H102" s="9" t="s">
        <v>430</v>
      </c>
      <c r="I102" s="8" t="s">
        <v>49</v>
      </c>
      <c r="J102" s="8" t="s">
        <v>73</v>
      </c>
    </row>
    <row r="103" spans="1:10" ht="39" customHeight="1">
      <c r="A103" s="8">
        <v>103</v>
      </c>
      <c r="B103" s="9" t="s">
        <v>350</v>
      </c>
      <c r="C103" s="8" t="s">
        <v>431</v>
      </c>
      <c r="D103" s="9" t="s">
        <v>432</v>
      </c>
      <c r="E103" s="9" t="s">
        <v>433</v>
      </c>
      <c r="F103" s="9" t="s">
        <v>362</v>
      </c>
      <c r="G103" s="9" t="s">
        <v>434</v>
      </c>
      <c r="H103" s="9" t="s">
        <v>434</v>
      </c>
      <c r="I103" s="8" t="s">
        <v>49</v>
      </c>
      <c r="J103" s="8" t="s">
        <v>56</v>
      </c>
    </row>
    <row r="104" spans="1:10" ht="26.25" customHeight="1">
      <c r="A104" s="8">
        <v>104</v>
      </c>
      <c r="B104" s="9" t="s">
        <v>350</v>
      </c>
      <c r="C104" s="8" t="s">
        <v>435</v>
      </c>
      <c r="D104" s="9" t="s">
        <v>436</v>
      </c>
      <c r="E104" s="9" t="s">
        <v>437</v>
      </c>
      <c r="F104" s="9" t="s">
        <v>54</v>
      </c>
      <c r="G104" s="9" t="s">
        <v>438</v>
      </c>
      <c r="H104" s="9" t="s">
        <v>438</v>
      </c>
      <c r="I104" s="8" t="s">
        <v>49</v>
      </c>
      <c r="J104" s="8" t="s">
        <v>56</v>
      </c>
    </row>
    <row r="105" spans="1:10" ht="26.25" customHeight="1">
      <c r="A105" s="8">
        <v>105</v>
      </c>
      <c r="B105" s="9" t="s">
        <v>350</v>
      </c>
      <c r="C105" s="8" t="s">
        <v>439</v>
      </c>
      <c r="D105" s="9" t="s">
        <v>440</v>
      </c>
      <c r="E105" s="9" t="s">
        <v>441</v>
      </c>
      <c r="F105" s="9" t="s">
        <v>362</v>
      </c>
      <c r="G105" s="9" t="s">
        <v>442</v>
      </c>
      <c r="H105" s="9" t="s">
        <v>442</v>
      </c>
      <c r="I105" s="8" t="s">
        <v>49</v>
      </c>
      <c r="J105" s="8" t="s">
        <v>56</v>
      </c>
    </row>
    <row r="106" spans="1:10" ht="26.25" customHeight="1">
      <c r="A106" s="8">
        <v>106</v>
      </c>
      <c r="B106" s="9" t="s">
        <v>350</v>
      </c>
      <c r="C106" s="8" t="s">
        <v>443</v>
      </c>
      <c r="D106" s="9" t="s">
        <v>444</v>
      </c>
      <c r="E106" s="9" t="s">
        <v>445</v>
      </c>
      <c r="F106" s="9" t="s">
        <v>362</v>
      </c>
      <c r="G106" s="9" t="s">
        <v>446</v>
      </c>
      <c r="H106" s="9" t="s">
        <v>446</v>
      </c>
      <c r="I106" s="8" t="s">
        <v>49</v>
      </c>
      <c r="J106" s="8" t="s">
        <v>56</v>
      </c>
    </row>
    <row r="107" spans="1:10" ht="26.25" customHeight="1">
      <c r="A107" s="8">
        <v>107</v>
      </c>
      <c r="B107" s="9" t="s">
        <v>350</v>
      </c>
      <c r="C107" s="8" t="s">
        <v>447</v>
      </c>
      <c r="D107" s="9" t="s">
        <v>448</v>
      </c>
      <c r="E107" s="9" t="s">
        <v>449</v>
      </c>
      <c r="F107" s="9" t="s">
        <v>362</v>
      </c>
      <c r="G107" s="9" t="s">
        <v>450</v>
      </c>
      <c r="H107" s="9" t="s">
        <v>450</v>
      </c>
      <c r="I107" s="8" t="s">
        <v>49</v>
      </c>
      <c r="J107" s="8" t="s">
        <v>73</v>
      </c>
    </row>
    <row r="108" spans="1:10" ht="39" customHeight="1">
      <c r="A108" s="8">
        <v>108</v>
      </c>
      <c r="B108" s="9" t="s">
        <v>350</v>
      </c>
      <c r="C108" s="8" t="s">
        <v>451</v>
      </c>
      <c r="D108" s="9" t="s">
        <v>452</v>
      </c>
      <c r="E108" s="9" t="s">
        <v>453</v>
      </c>
      <c r="F108" s="9" t="s">
        <v>362</v>
      </c>
      <c r="G108" s="9" t="s">
        <v>454</v>
      </c>
      <c r="H108" s="9" t="s">
        <v>454</v>
      </c>
      <c r="I108" s="8" t="s">
        <v>49</v>
      </c>
      <c r="J108" s="8" t="s">
        <v>73</v>
      </c>
    </row>
    <row r="109" spans="1:10" ht="39" customHeight="1">
      <c r="A109" s="8">
        <v>109</v>
      </c>
      <c r="B109" s="9" t="s">
        <v>350</v>
      </c>
      <c r="C109" s="8" t="s">
        <v>455</v>
      </c>
      <c r="D109" s="9" t="s">
        <v>456</v>
      </c>
      <c r="E109" s="9" t="s">
        <v>457</v>
      </c>
      <c r="F109" s="9" t="s">
        <v>54</v>
      </c>
      <c r="G109" s="9" t="s">
        <v>458</v>
      </c>
      <c r="H109" s="9" t="s">
        <v>458</v>
      </c>
      <c r="I109" s="8" t="s">
        <v>49</v>
      </c>
      <c r="J109" s="8" t="s">
        <v>73</v>
      </c>
    </row>
    <row r="110" spans="1:10" ht="39" customHeight="1">
      <c r="A110" s="8">
        <v>110</v>
      </c>
      <c r="B110" s="9" t="s">
        <v>350</v>
      </c>
      <c r="C110" s="8" t="s">
        <v>459</v>
      </c>
      <c r="D110" s="9" t="s">
        <v>460</v>
      </c>
      <c r="E110" s="9" t="s">
        <v>461</v>
      </c>
      <c r="F110" s="9" t="s">
        <v>54</v>
      </c>
      <c r="G110" s="9" t="s">
        <v>462</v>
      </c>
      <c r="H110" s="9" t="s">
        <v>462</v>
      </c>
      <c r="I110" s="8" t="s">
        <v>49</v>
      </c>
      <c r="J110" s="8" t="s">
        <v>73</v>
      </c>
    </row>
    <row r="111" spans="1:10" ht="26.25" customHeight="1">
      <c r="A111" s="8">
        <v>111</v>
      </c>
      <c r="B111" s="9" t="s">
        <v>350</v>
      </c>
      <c r="C111" s="8" t="s">
        <v>463</v>
      </c>
      <c r="D111" s="9" t="s">
        <v>464</v>
      </c>
      <c r="E111" s="9" t="s">
        <v>465</v>
      </c>
      <c r="F111" s="9" t="s">
        <v>54</v>
      </c>
      <c r="G111" s="9" t="s">
        <v>466</v>
      </c>
      <c r="H111" s="9" t="s">
        <v>466</v>
      </c>
      <c r="I111" s="8" t="s">
        <v>49</v>
      </c>
      <c r="J111" s="8" t="s">
        <v>56</v>
      </c>
    </row>
    <row r="112" spans="1:10" ht="26.25" customHeight="1">
      <c r="A112" s="8">
        <v>112</v>
      </c>
      <c r="B112" s="9" t="s">
        <v>350</v>
      </c>
      <c r="C112" s="8" t="s">
        <v>467</v>
      </c>
      <c r="D112" s="9" t="s">
        <v>468</v>
      </c>
      <c r="E112" s="9" t="s">
        <v>469</v>
      </c>
      <c r="F112" s="9" t="s">
        <v>362</v>
      </c>
      <c r="G112" s="9" t="s">
        <v>470</v>
      </c>
      <c r="H112" s="9" t="s">
        <v>470</v>
      </c>
      <c r="I112" s="8" t="s">
        <v>49</v>
      </c>
      <c r="J112" s="8" t="s">
        <v>56</v>
      </c>
    </row>
    <row r="113" spans="1:10" ht="26.25" customHeight="1">
      <c r="A113" s="8">
        <v>113</v>
      </c>
      <c r="B113" s="9" t="s">
        <v>471</v>
      </c>
      <c r="C113" s="8" t="s">
        <v>472</v>
      </c>
      <c r="D113" s="9" t="s">
        <v>473</v>
      </c>
      <c r="E113" s="9" t="s">
        <v>474</v>
      </c>
      <c r="F113" s="9" t="s">
        <v>362</v>
      </c>
      <c r="G113" s="9" t="s">
        <v>475</v>
      </c>
      <c r="H113" s="9" t="s">
        <v>475</v>
      </c>
      <c r="I113" s="8" t="s">
        <v>49</v>
      </c>
      <c r="J113" s="8" t="s">
        <v>73</v>
      </c>
    </row>
    <row r="114" spans="1:10" ht="26.25" customHeight="1">
      <c r="A114" s="8">
        <v>114</v>
      </c>
      <c r="B114" s="9" t="s">
        <v>471</v>
      </c>
      <c r="C114" s="8" t="s">
        <v>476</v>
      </c>
      <c r="D114" s="9" t="s">
        <v>477</v>
      </c>
      <c r="E114" s="9" t="s">
        <v>478</v>
      </c>
      <c r="F114" s="9" t="s">
        <v>362</v>
      </c>
      <c r="G114" s="9" t="s">
        <v>479</v>
      </c>
      <c r="H114" s="9" t="s">
        <v>479</v>
      </c>
      <c r="I114" s="8" t="s">
        <v>49</v>
      </c>
      <c r="J114" s="8" t="s">
        <v>73</v>
      </c>
    </row>
    <row r="115" spans="1:10" ht="26.25" customHeight="1">
      <c r="A115" s="8">
        <v>115</v>
      </c>
      <c r="B115" s="9" t="s">
        <v>471</v>
      </c>
      <c r="C115" s="8" t="s">
        <v>480</v>
      </c>
      <c r="D115" s="9" t="s">
        <v>481</v>
      </c>
      <c r="E115" s="9" t="s">
        <v>482</v>
      </c>
      <c r="F115" s="9" t="s">
        <v>362</v>
      </c>
      <c r="G115" s="9" t="s">
        <v>483</v>
      </c>
      <c r="H115" s="9" t="s">
        <v>483</v>
      </c>
      <c r="I115" s="8" t="s">
        <v>49</v>
      </c>
      <c r="J115" s="8" t="s">
        <v>56</v>
      </c>
    </row>
    <row r="116" spans="1:10" ht="26.25" customHeight="1">
      <c r="A116" s="8">
        <v>116</v>
      </c>
      <c r="B116" s="9" t="s">
        <v>471</v>
      </c>
      <c r="C116" s="8" t="s">
        <v>484</v>
      </c>
      <c r="D116" s="9" t="s">
        <v>485</v>
      </c>
      <c r="E116" s="9" t="s">
        <v>486</v>
      </c>
      <c r="F116" s="9" t="s">
        <v>362</v>
      </c>
      <c r="G116" s="9" t="s">
        <v>487</v>
      </c>
      <c r="H116" s="9" t="s">
        <v>487</v>
      </c>
      <c r="I116" s="8" t="s">
        <v>49</v>
      </c>
      <c r="J116" s="8" t="s">
        <v>73</v>
      </c>
    </row>
    <row r="117" spans="1:10" ht="26.25" customHeight="1">
      <c r="A117" s="8">
        <v>117</v>
      </c>
      <c r="B117" s="9" t="s">
        <v>471</v>
      </c>
      <c r="C117" s="8" t="s">
        <v>488</v>
      </c>
      <c r="D117" s="9" t="s">
        <v>489</v>
      </c>
      <c r="E117" s="9" t="s">
        <v>490</v>
      </c>
      <c r="F117" s="9" t="s">
        <v>362</v>
      </c>
      <c r="G117" s="9" t="s">
        <v>491</v>
      </c>
      <c r="H117" s="9" t="s">
        <v>491</v>
      </c>
      <c r="I117" s="8" t="s">
        <v>49</v>
      </c>
      <c r="J117" s="8" t="s">
        <v>56</v>
      </c>
    </row>
    <row r="118" spans="1:10" ht="26.25" customHeight="1">
      <c r="A118" s="8">
        <v>118</v>
      </c>
      <c r="B118" s="9" t="s">
        <v>471</v>
      </c>
      <c r="C118" s="8" t="s">
        <v>492</v>
      </c>
      <c r="D118" s="9" t="s">
        <v>493</v>
      </c>
      <c r="E118" s="9" t="s">
        <v>494</v>
      </c>
      <c r="F118" s="9" t="s">
        <v>362</v>
      </c>
      <c r="G118" s="9" t="s">
        <v>495</v>
      </c>
      <c r="H118" s="9" t="s">
        <v>495</v>
      </c>
      <c r="I118" s="8" t="s">
        <v>49</v>
      </c>
      <c r="J118" s="8" t="s">
        <v>73</v>
      </c>
    </row>
    <row r="119" spans="1:10" ht="26.25" customHeight="1">
      <c r="A119" s="8">
        <v>119</v>
      </c>
      <c r="B119" s="9" t="s">
        <v>471</v>
      </c>
      <c r="C119" s="8" t="s">
        <v>496</v>
      </c>
      <c r="D119" s="9" t="s">
        <v>497</v>
      </c>
      <c r="E119" s="9" t="s">
        <v>498</v>
      </c>
      <c r="F119" s="9" t="s">
        <v>362</v>
      </c>
      <c r="G119" s="9" t="s">
        <v>499</v>
      </c>
      <c r="H119" s="9" t="s">
        <v>499</v>
      </c>
      <c r="I119" s="8" t="s">
        <v>49</v>
      </c>
      <c r="J119" s="8" t="s">
        <v>73</v>
      </c>
    </row>
    <row r="120" spans="1:10" ht="26.25" customHeight="1">
      <c r="A120" s="8">
        <v>120</v>
      </c>
      <c r="B120" s="9" t="s">
        <v>471</v>
      </c>
      <c r="C120" s="8" t="s">
        <v>500</v>
      </c>
      <c r="D120" s="9" t="s">
        <v>501</v>
      </c>
      <c r="E120" s="9" t="s">
        <v>502</v>
      </c>
      <c r="F120" s="9" t="s">
        <v>362</v>
      </c>
      <c r="G120" s="9" t="s">
        <v>503</v>
      </c>
      <c r="H120" s="9" t="s">
        <v>503</v>
      </c>
      <c r="I120" s="8" t="s">
        <v>49</v>
      </c>
      <c r="J120" s="8" t="s">
        <v>56</v>
      </c>
    </row>
    <row r="121" spans="1:10" ht="26.25" customHeight="1">
      <c r="A121" s="8">
        <v>121</v>
      </c>
      <c r="B121" s="9" t="s">
        <v>471</v>
      </c>
      <c r="C121" s="8" t="s">
        <v>504</v>
      </c>
      <c r="D121" s="9" t="s">
        <v>505</v>
      </c>
      <c r="E121" s="9" t="s">
        <v>506</v>
      </c>
      <c r="F121" s="9" t="s">
        <v>362</v>
      </c>
      <c r="G121" s="9" t="s">
        <v>507</v>
      </c>
      <c r="H121" s="9" t="s">
        <v>507</v>
      </c>
      <c r="I121" s="8" t="s">
        <v>49</v>
      </c>
      <c r="J121" s="8" t="s">
        <v>56</v>
      </c>
    </row>
    <row r="122" spans="1:10" ht="26.25" customHeight="1">
      <c r="A122" s="8">
        <v>122</v>
      </c>
      <c r="B122" s="9" t="s">
        <v>471</v>
      </c>
      <c r="C122" s="8" t="s">
        <v>508</v>
      </c>
      <c r="D122" s="9" t="s">
        <v>509</v>
      </c>
      <c r="E122" s="9" t="s">
        <v>510</v>
      </c>
      <c r="F122" s="9" t="s">
        <v>362</v>
      </c>
      <c r="G122" s="9" t="s">
        <v>511</v>
      </c>
      <c r="H122" s="9" t="s">
        <v>511</v>
      </c>
      <c r="I122" s="8" t="s">
        <v>49</v>
      </c>
      <c r="J122" s="8" t="s">
        <v>56</v>
      </c>
    </row>
    <row r="123" spans="1:10" ht="26.25" customHeight="1">
      <c r="A123" s="8">
        <v>123</v>
      </c>
      <c r="B123" s="9" t="s">
        <v>471</v>
      </c>
      <c r="C123" s="8" t="s">
        <v>512</v>
      </c>
      <c r="D123" s="9" t="s">
        <v>513</v>
      </c>
      <c r="E123" s="9" t="s">
        <v>514</v>
      </c>
      <c r="F123" s="9" t="s">
        <v>362</v>
      </c>
      <c r="G123" s="9" t="s">
        <v>515</v>
      </c>
      <c r="H123" s="9" t="s">
        <v>515</v>
      </c>
      <c r="I123" s="8" t="s">
        <v>49</v>
      </c>
      <c r="J123" s="8" t="s">
        <v>56</v>
      </c>
    </row>
    <row r="124" spans="1:10" ht="26.25" customHeight="1">
      <c r="A124" s="8">
        <v>124</v>
      </c>
      <c r="B124" s="9" t="s">
        <v>471</v>
      </c>
      <c r="C124" s="8" t="s">
        <v>516</v>
      </c>
      <c r="D124" s="9" t="s">
        <v>517</v>
      </c>
      <c r="E124" s="9" t="s">
        <v>518</v>
      </c>
      <c r="F124" s="9" t="s">
        <v>362</v>
      </c>
      <c r="G124" s="9" t="s">
        <v>519</v>
      </c>
      <c r="H124" s="9" t="s">
        <v>519</v>
      </c>
      <c r="I124" s="8" t="s">
        <v>49</v>
      </c>
      <c r="J124" s="8" t="s">
        <v>56</v>
      </c>
    </row>
    <row r="125" spans="1:10" ht="26.25" customHeight="1">
      <c r="A125" s="8">
        <v>125</v>
      </c>
      <c r="B125" s="9" t="s">
        <v>471</v>
      </c>
      <c r="C125" s="8" t="s">
        <v>520</v>
      </c>
      <c r="D125" s="9" t="s">
        <v>521</v>
      </c>
      <c r="E125" s="9" t="s">
        <v>522</v>
      </c>
      <c r="F125" s="9" t="s">
        <v>362</v>
      </c>
      <c r="G125" s="9" t="s">
        <v>523</v>
      </c>
      <c r="H125" s="9" t="s">
        <v>523</v>
      </c>
      <c r="I125" s="8" t="s">
        <v>49</v>
      </c>
      <c r="J125" s="8" t="s">
        <v>56</v>
      </c>
    </row>
    <row r="126" spans="1:10" ht="26.25" customHeight="1">
      <c r="A126" s="8">
        <v>126</v>
      </c>
      <c r="B126" s="9" t="s">
        <v>471</v>
      </c>
      <c r="C126" s="8" t="s">
        <v>524</v>
      </c>
      <c r="D126" s="9" t="s">
        <v>525</v>
      </c>
      <c r="E126" s="9" t="s">
        <v>526</v>
      </c>
      <c r="F126" s="9" t="s">
        <v>362</v>
      </c>
      <c r="G126" s="9" t="s">
        <v>527</v>
      </c>
      <c r="H126" s="9" t="s">
        <v>527</v>
      </c>
      <c r="I126" s="8" t="s">
        <v>49</v>
      </c>
      <c r="J126" s="8" t="s">
        <v>56</v>
      </c>
    </row>
    <row r="127" spans="1:10" ht="26.25" customHeight="1">
      <c r="A127" s="8">
        <v>127</v>
      </c>
      <c r="B127" s="9" t="s">
        <v>471</v>
      </c>
      <c r="C127" s="8" t="s">
        <v>528</v>
      </c>
      <c r="D127" s="9" t="s">
        <v>529</v>
      </c>
      <c r="E127" s="9" t="s">
        <v>530</v>
      </c>
      <c r="F127" s="9" t="s">
        <v>362</v>
      </c>
      <c r="G127" s="9" t="s">
        <v>531</v>
      </c>
      <c r="H127" s="9" t="s">
        <v>531</v>
      </c>
      <c r="I127" s="8" t="s">
        <v>49</v>
      </c>
      <c r="J127" s="8" t="s">
        <v>56</v>
      </c>
    </row>
    <row r="128" spans="1:10" ht="26.25" customHeight="1">
      <c r="A128" s="8">
        <v>128</v>
      </c>
      <c r="B128" s="9" t="s">
        <v>471</v>
      </c>
      <c r="C128" s="8" t="s">
        <v>532</v>
      </c>
      <c r="D128" s="9" t="s">
        <v>533</v>
      </c>
      <c r="E128" s="9" t="s">
        <v>534</v>
      </c>
      <c r="F128" s="9" t="s">
        <v>362</v>
      </c>
      <c r="G128" s="9" t="s">
        <v>535</v>
      </c>
      <c r="H128" s="9" t="s">
        <v>535</v>
      </c>
      <c r="I128" s="8" t="s">
        <v>49</v>
      </c>
      <c r="J128" s="8" t="s">
        <v>73</v>
      </c>
    </row>
    <row r="129" spans="1:10" ht="26.25" customHeight="1">
      <c r="A129" s="8">
        <v>129</v>
      </c>
      <c r="B129" s="9" t="s">
        <v>471</v>
      </c>
      <c r="C129" s="8" t="s">
        <v>536</v>
      </c>
      <c r="D129" s="9" t="s">
        <v>537</v>
      </c>
      <c r="E129" s="9" t="s">
        <v>538</v>
      </c>
      <c r="F129" s="9" t="s">
        <v>362</v>
      </c>
      <c r="G129" s="9" t="s">
        <v>539</v>
      </c>
      <c r="H129" s="9" t="s">
        <v>539</v>
      </c>
      <c r="I129" s="8" t="s">
        <v>49</v>
      </c>
      <c r="J129" s="8" t="s">
        <v>73</v>
      </c>
    </row>
    <row r="130" spans="1:10" ht="26.25" customHeight="1">
      <c r="A130" s="8">
        <v>130</v>
      </c>
      <c r="B130" s="9" t="s">
        <v>471</v>
      </c>
      <c r="C130" s="8" t="s">
        <v>540</v>
      </c>
      <c r="D130" s="9" t="s">
        <v>541</v>
      </c>
      <c r="E130" s="9" t="s">
        <v>542</v>
      </c>
      <c r="F130" s="9" t="s">
        <v>362</v>
      </c>
      <c r="G130" s="9" t="s">
        <v>543</v>
      </c>
      <c r="H130" s="9" t="s">
        <v>543</v>
      </c>
      <c r="I130" s="8" t="s">
        <v>49</v>
      </c>
      <c r="J130" s="8" t="s">
        <v>56</v>
      </c>
    </row>
    <row r="131" spans="1:10" ht="26.25" customHeight="1">
      <c r="A131" s="8">
        <v>131</v>
      </c>
      <c r="B131" s="9" t="s">
        <v>471</v>
      </c>
      <c r="C131" s="8" t="s">
        <v>544</v>
      </c>
      <c r="D131" s="9" t="s">
        <v>545</v>
      </c>
      <c r="E131" s="9" t="s">
        <v>546</v>
      </c>
      <c r="F131" s="9" t="s">
        <v>362</v>
      </c>
      <c r="G131" s="9" t="s">
        <v>547</v>
      </c>
      <c r="H131" s="9" t="s">
        <v>547</v>
      </c>
      <c r="I131" s="8" t="s">
        <v>49</v>
      </c>
      <c r="J131" s="8" t="s">
        <v>56</v>
      </c>
    </row>
    <row r="132" spans="1:10" ht="39" customHeight="1">
      <c r="A132" s="8">
        <v>132</v>
      </c>
      <c r="B132" s="9" t="s">
        <v>471</v>
      </c>
      <c r="C132" s="8" t="s">
        <v>548</v>
      </c>
      <c r="D132" s="9" t="s">
        <v>549</v>
      </c>
      <c r="E132" s="9" t="s">
        <v>550</v>
      </c>
      <c r="F132" s="9" t="s">
        <v>362</v>
      </c>
      <c r="G132" s="9" t="s">
        <v>551</v>
      </c>
      <c r="H132" s="9" t="s">
        <v>551</v>
      </c>
      <c r="I132" s="8" t="s">
        <v>49</v>
      </c>
      <c r="J132" s="8" t="s">
        <v>56</v>
      </c>
    </row>
    <row r="133" spans="1:10" ht="39" customHeight="1">
      <c r="A133" s="8">
        <v>133</v>
      </c>
      <c r="B133" s="9" t="s">
        <v>552</v>
      </c>
      <c r="C133" s="8" t="s">
        <v>553</v>
      </c>
      <c r="D133" s="9" t="s">
        <v>554</v>
      </c>
      <c r="E133" s="9" t="s">
        <v>555</v>
      </c>
      <c r="F133" s="9" t="s">
        <v>54</v>
      </c>
      <c r="G133" s="9" t="s">
        <v>556</v>
      </c>
      <c r="H133" s="9" t="s">
        <v>556</v>
      </c>
      <c r="I133" s="8" t="s">
        <v>49</v>
      </c>
      <c r="J133" s="8" t="s">
        <v>73</v>
      </c>
    </row>
    <row r="134" spans="1:10" ht="39" customHeight="1">
      <c r="A134" s="8">
        <v>134</v>
      </c>
      <c r="B134" s="9" t="s">
        <v>552</v>
      </c>
      <c r="C134" s="8" t="s">
        <v>557</v>
      </c>
      <c r="D134" s="9" t="s">
        <v>558</v>
      </c>
      <c r="E134" s="9" t="s">
        <v>559</v>
      </c>
      <c r="F134" s="9" t="s">
        <v>54</v>
      </c>
      <c r="G134" s="9" t="s">
        <v>560</v>
      </c>
      <c r="H134" s="9" t="s">
        <v>560</v>
      </c>
      <c r="I134" s="8" t="s">
        <v>49</v>
      </c>
      <c r="J134" s="8" t="s">
        <v>73</v>
      </c>
    </row>
    <row r="135" spans="1:10" ht="39" customHeight="1">
      <c r="A135" s="8">
        <v>135</v>
      </c>
      <c r="B135" s="9" t="s">
        <v>552</v>
      </c>
      <c r="C135" s="8" t="s">
        <v>561</v>
      </c>
      <c r="D135" s="9" t="s">
        <v>562</v>
      </c>
      <c r="E135" s="9" t="s">
        <v>563</v>
      </c>
      <c r="F135" s="9" t="s">
        <v>54</v>
      </c>
      <c r="G135" s="9" t="s">
        <v>564</v>
      </c>
      <c r="H135" s="9" t="s">
        <v>564</v>
      </c>
      <c r="I135" s="8" t="s">
        <v>49</v>
      </c>
      <c r="J135" s="8" t="s">
        <v>73</v>
      </c>
    </row>
    <row r="136" spans="1:10" ht="39" customHeight="1">
      <c r="A136" s="8">
        <v>136</v>
      </c>
      <c r="B136" s="9" t="s">
        <v>552</v>
      </c>
      <c r="C136" s="8" t="s">
        <v>565</v>
      </c>
      <c r="D136" s="9" t="s">
        <v>566</v>
      </c>
      <c r="E136" s="9" t="s">
        <v>567</v>
      </c>
      <c r="F136" s="9" t="s">
        <v>54</v>
      </c>
      <c r="G136" s="9" t="s">
        <v>568</v>
      </c>
      <c r="H136" s="9" t="s">
        <v>568</v>
      </c>
      <c r="I136" s="8" t="s">
        <v>49</v>
      </c>
      <c r="J136" s="8" t="s">
        <v>73</v>
      </c>
    </row>
    <row r="137" spans="1:10" ht="39" customHeight="1">
      <c r="A137" s="8">
        <v>137</v>
      </c>
      <c r="B137" s="9" t="s">
        <v>552</v>
      </c>
      <c r="C137" s="8" t="s">
        <v>569</v>
      </c>
      <c r="D137" s="9" t="s">
        <v>570</v>
      </c>
      <c r="E137" s="9" t="s">
        <v>571</v>
      </c>
      <c r="F137" s="9" t="s">
        <v>54</v>
      </c>
      <c r="G137" s="9" t="s">
        <v>556</v>
      </c>
      <c r="H137" s="9" t="s">
        <v>556</v>
      </c>
      <c r="I137" s="8" t="s">
        <v>49</v>
      </c>
      <c r="J137" s="8" t="s">
        <v>73</v>
      </c>
    </row>
    <row r="138" spans="1:10" ht="39" customHeight="1">
      <c r="A138" s="8">
        <v>138</v>
      </c>
      <c r="B138" s="9" t="s">
        <v>552</v>
      </c>
      <c r="C138" s="8" t="s">
        <v>572</v>
      </c>
      <c r="D138" s="9" t="s">
        <v>573</v>
      </c>
      <c r="E138" s="9" t="s">
        <v>574</v>
      </c>
      <c r="F138" s="9" t="s">
        <v>54</v>
      </c>
      <c r="G138" s="9" t="s">
        <v>560</v>
      </c>
      <c r="H138" s="9" t="s">
        <v>560</v>
      </c>
      <c r="I138" s="8" t="s">
        <v>49</v>
      </c>
      <c r="J138" s="8" t="s">
        <v>73</v>
      </c>
    </row>
    <row r="139" spans="1:10" ht="39" customHeight="1">
      <c r="A139" s="8">
        <v>139</v>
      </c>
      <c r="B139" s="9" t="s">
        <v>552</v>
      </c>
      <c r="C139" s="8" t="s">
        <v>575</v>
      </c>
      <c r="D139" s="9" t="s">
        <v>576</v>
      </c>
      <c r="E139" s="9" t="s">
        <v>577</v>
      </c>
      <c r="F139" s="9" t="s">
        <v>54</v>
      </c>
      <c r="G139" s="9" t="s">
        <v>564</v>
      </c>
      <c r="H139" s="9" t="s">
        <v>564</v>
      </c>
      <c r="I139" s="8" t="s">
        <v>49</v>
      </c>
      <c r="J139" s="8" t="s">
        <v>73</v>
      </c>
    </row>
    <row r="140" spans="1:10" ht="39" customHeight="1">
      <c r="A140" s="8">
        <v>140</v>
      </c>
      <c r="B140" s="9" t="s">
        <v>552</v>
      </c>
      <c r="C140" s="8" t="s">
        <v>578</v>
      </c>
      <c r="D140" s="9" t="s">
        <v>579</v>
      </c>
      <c r="E140" s="9" t="s">
        <v>580</v>
      </c>
      <c r="F140" s="9" t="s">
        <v>54</v>
      </c>
      <c r="G140" s="9" t="s">
        <v>568</v>
      </c>
      <c r="H140" s="9" t="s">
        <v>568</v>
      </c>
      <c r="I140" s="8" t="s">
        <v>49</v>
      </c>
      <c r="J140" s="8" t="s">
        <v>73</v>
      </c>
    </row>
    <row r="141" spans="1:10" ht="39" customHeight="1">
      <c r="A141" s="8">
        <v>141</v>
      </c>
      <c r="B141" s="9" t="s">
        <v>552</v>
      </c>
      <c r="C141" s="8" t="s">
        <v>581</v>
      </c>
      <c r="D141" s="9" t="s">
        <v>582</v>
      </c>
      <c r="E141" s="9" t="s">
        <v>583</v>
      </c>
      <c r="F141" s="9" t="s">
        <v>54</v>
      </c>
      <c r="G141" s="9" t="s">
        <v>556</v>
      </c>
      <c r="H141" s="9" t="s">
        <v>556</v>
      </c>
      <c r="I141" s="8" t="s">
        <v>49</v>
      </c>
      <c r="J141" s="8" t="s">
        <v>73</v>
      </c>
    </row>
    <row r="142" spans="1:10" ht="39" customHeight="1">
      <c r="A142" s="8">
        <v>142</v>
      </c>
      <c r="B142" s="9" t="s">
        <v>552</v>
      </c>
      <c r="C142" s="8" t="s">
        <v>584</v>
      </c>
      <c r="D142" s="9" t="s">
        <v>585</v>
      </c>
      <c r="E142" s="9" t="s">
        <v>586</v>
      </c>
      <c r="F142" s="9" t="s">
        <v>54</v>
      </c>
      <c r="G142" s="9" t="s">
        <v>560</v>
      </c>
      <c r="H142" s="9" t="s">
        <v>560</v>
      </c>
      <c r="I142" s="8" t="s">
        <v>49</v>
      </c>
      <c r="J142" s="8" t="s">
        <v>73</v>
      </c>
    </row>
    <row r="143" spans="1:10" ht="39" customHeight="1">
      <c r="A143" s="8">
        <v>143</v>
      </c>
      <c r="B143" s="9" t="s">
        <v>552</v>
      </c>
      <c r="C143" s="8" t="s">
        <v>587</v>
      </c>
      <c r="D143" s="9" t="s">
        <v>588</v>
      </c>
      <c r="E143" s="9" t="s">
        <v>589</v>
      </c>
      <c r="F143" s="9" t="s">
        <v>54</v>
      </c>
      <c r="G143" s="9" t="s">
        <v>564</v>
      </c>
      <c r="H143" s="9" t="s">
        <v>564</v>
      </c>
      <c r="I143" s="8" t="s">
        <v>49</v>
      </c>
      <c r="J143" s="8" t="s">
        <v>73</v>
      </c>
    </row>
    <row r="144" spans="1:10" ht="39" customHeight="1">
      <c r="A144" s="8">
        <v>144</v>
      </c>
      <c r="B144" s="9" t="s">
        <v>552</v>
      </c>
      <c r="C144" s="8" t="s">
        <v>590</v>
      </c>
      <c r="D144" s="9" t="s">
        <v>591</v>
      </c>
      <c r="E144" s="9" t="s">
        <v>592</v>
      </c>
      <c r="F144" s="9" t="s">
        <v>54</v>
      </c>
      <c r="G144" s="9" t="s">
        <v>568</v>
      </c>
      <c r="H144" s="9" t="s">
        <v>568</v>
      </c>
      <c r="I144" s="8" t="s">
        <v>49</v>
      </c>
      <c r="J144" s="8" t="s">
        <v>73</v>
      </c>
    </row>
    <row r="145" spans="1:10" ht="39" customHeight="1">
      <c r="A145" s="8">
        <v>145</v>
      </c>
      <c r="B145" s="9" t="s">
        <v>552</v>
      </c>
      <c r="C145" s="8" t="s">
        <v>593</v>
      </c>
      <c r="D145" s="9" t="s">
        <v>594</v>
      </c>
      <c r="E145" s="9" t="s">
        <v>595</v>
      </c>
      <c r="F145" s="9" t="s">
        <v>54</v>
      </c>
      <c r="G145" s="9" t="s">
        <v>556</v>
      </c>
      <c r="H145" s="9" t="s">
        <v>556</v>
      </c>
      <c r="I145" s="8" t="s">
        <v>49</v>
      </c>
      <c r="J145" s="8" t="s">
        <v>73</v>
      </c>
    </row>
    <row r="146" spans="1:10" ht="39" customHeight="1">
      <c r="A146" s="8">
        <v>146</v>
      </c>
      <c r="B146" s="9" t="s">
        <v>552</v>
      </c>
      <c r="C146" s="8" t="s">
        <v>596</v>
      </c>
      <c r="D146" s="9" t="s">
        <v>597</v>
      </c>
      <c r="E146" s="9" t="s">
        <v>598</v>
      </c>
      <c r="F146" s="9" t="s">
        <v>54</v>
      </c>
      <c r="G146" s="9" t="s">
        <v>560</v>
      </c>
      <c r="H146" s="9" t="s">
        <v>560</v>
      </c>
      <c r="I146" s="8" t="s">
        <v>49</v>
      </c>
      <c r="J146" s="8" t="s">
        <v>73</v>
      </c>
    </row>
    <row r="147" spans="1:10" ht="39" customHeight="1">
      <c r="A147" s="8">
        <v>147</v>
      </c>
      <c r="B147" s="9" t="s">
        <v>552</v>
      </c>
      <c r="C147" s="8" t="s">
        <v>599</v>
      </c>
      <c r="D147" s="9" t="s">
        <v>600</v>
      </c>
      <c r="E147" s="9" t="s">
        <v>601</v>
      </c>
      <c r="F147" s="9" t="s">
        <v>54</v>
      </c>
      <c r="G147" s="9" t="s">
        <v>564</v>
      </c>
      <c r="H147" s="9" t="s">
        <v>564</v>
      </c>
      <c r="I147" s="8" t="s">
        <v>49</v>
      </c>
      <c r="J147" s="8" t="s">
        <v>73</v>
      </c>
    </row>
    <row r="148" spans="1:10" ht="39" customHeight="1">
      <c r="A148" s="8">
        <v>148</v>
      </c>
      <c r="B148" s="9" t="s">
        <v>552</v>
      </c>
      <c r="C148" s="8" t="s">
        <v>602</v>
      </c>
      <c r="D148" s="9" t="s">
        <v>603</v>
      </c>
      <c r="E148" s="9" t="s">
        <v>604</v>
      </c>
      <c r="F148" s="9" t="s">
        <v>54</v>
      </c>
      <c r="G148" s="9" t="s">
        <v>568</v>
      </c>
      <c r="H148" s="9" t="s">
        <v>568</v>
      </c>
      <c r="I148" s="8" t="s">
        <v>49</v>
      </c>
      <c r="J148" s="8" t="s">
        <v>73</v>
      </c>
    </row>
    <row r="149" spans="1:10" ht="39" customHeight="1">
      <c r="A149" s="8">
        <v>149</v>
      </c>
      <c r="B149" s="9" t="s">
        <v>552</v>
      </c>
      <c r="C149" s="8" t="s">
        <v>605</v>
      </c>
      <c r="D149" s="9" t="s">
        <v>606</v>
      </c>
      <c r="E149" s="9" t="s">
        <v>607</v>
      </c>
      <c r="F149" s="9" t="s">
        <v>54</v>
      </c>
      <c r="G149" s="9" t="s">
        <v>556</v>
      </c>
      <c r="H149" s="9" t="s">
        <v>556</v>
      </c>
      <c r="I149" s="8" t="s">
        <v>49</v>
      </c>
      <c r="J149" s="8" t="s">
        <v>73</v>
      </c>
    </row>
    <row r="150" spans="1:10" ht="39" customHeight="1">
      <c r="A150" s="8">
        <v>150</v>
      </c>
      <c r="B150" s="9" t="s">
        <v>552</v>
      </c>
      <c r="C150" s="8" t="s">
        <v>608</v>
      </c>
      <c r="D150" s="9" t="s">
        <v>609</v>
      </c>
      <c r="E150" s="9" t="s">
        <v>610</v>
      </c>
      <c r="F150" s="9" t="s">
        <v>54</v>
      </c>
      <c r="G150" s="9" t="s">
        <v>560</v>
      </c>
      <c r="H150" s="9" t="s">
        <v>560</v>
      </c>
      <c r="I150" s="8" t="s">
        <v>49</v>
      </c>
      <c r="J150" s="8" t="s">
        <v>73</v>
      </c>
    </row>
    <row r="151" spans="1:10" ht="39" customHeight="1">
      <c r="A151" s="8">
        <v>151</v>
      </c>
      <c r="B151" s="9" t="s">
        <v>552</v>
      </c>
      <c r="C151" s="8" t="s">
        <v>611</v>
      </c>
      <c r="D151" s="9" t="s">
        <v>612</v>
      </c>
      <c r="E151" s="9" t="s">
        <v>613</v>
      </c>
      <c r="F151" s="9" t="s">
        <v>54</v>
      </c>
      <c r="G151" s="9" t="s">
        <v>564</v>
      </c>
      <c r="H151" s="9" t="s">
        <v>564</v>
      </c>
      <c r="I151" s="8" t="s">
        <v>49</v>
      </c>
      <c r="J151" s="8" t="s">
        <v>73</v>
      </c>
    </row>
    <row r="152" spans="1:10" ht="39" customHeight="1">
      <c r="A152" s="8">
        <v>152</v>
      </c>
      <c r="B152" s="9" t="s">
        <v>552</v>
      </c>
      <c r="C152" s="8" t="s">
        <v>614</v>
      </c>
      <c r="D152" s="9" t="s">
        <v>615</v>
      </c>
      <c r="E152" s="9" t="s">
        <v>616</v>
      </c>
      <c r="F152" s="9" t="s">
        <v>54</v>
      </c>
      <c r="G152" s="9" t="s">
        <v>568</v>
      </c>
      <c r="H152" s="9" t="s">
        <v>568</v>
      </c>
      <c r="I152" s="8" t="s">
        <v>49</v>
      </c>
      <c r="J152" s="8" t="s">
        <v>73</v>
      </c>
    </row>
    <row r="153" spans="1:10" ht="39" customHeight="1">
      <c r="A153" s="8">
        <v>153</v>
      </c>
      <c r="B153" s="9" t="s">
        <v>552</v>
      </c>
      <c r="C153" s="8" t="s">
        <v>617</v>
      </c>
      <c r="D153" s="9" t="s">
        <v>618</v>
      </c>
      <c r="E153" s="9" t="s">
        <v>619</v>
      </c>
      <c r="F153" s="9" t="s">
        <v>54</v>
      </c>
      <c r="G153" s="9" t="s">
        <v>556</v>
      </c>
      <c r="H153" s="9" t="s">
        <v>556</v>
      </c>
      <c r="I153" s="8" t="s">
        <v>49</v>
      </c>
      <c r="J153" s="8" t="s">
        <v>73</v>
      </c>
    </row>
    <row r="154" spans="1:10" ht="39" customHeight="1">
      <c r="A154" s="8">
        <v>154</v>
      </c>
      <c r="B154" s="9" t="s">
        <v>552</v>
      </c>
      <c r="C154" s="8" t="s">
        <v>620</v>
      </c>
      <c r="D154" s="9" t="s">
        <v>621</v>
      </c>
      <c r="E154" s="9" t="s">
        <v>622</v>
      </c>
      <c r="F154" s="9" t="s">
        <v>54</v>
      </c>
      <c r="G154" s="9" t="s">
        <v>560</v>
      </c>
      <c r="H154" s="9" t="s">
        <v>560</v>
      </c>
      <c r="I154" s="8" t="s">
        <v>49</v>
      </c>
      <c r="J154" s="8" t="s">
        <v>73</v>
      </c>
    </row>
    <row r="155" spans="1:10" ht="39" customHeight="1">
      <c r="A155" s="8">
        <v>155</v>
      </c>
      <c r="B155" s="9" t="s">
        <v>552</v>
      </c>
      <c r="C155" s="8" t="s">
        <v>623</v>
      </c>
      <c r="D155" s="9" t="s">
        <v>624</v>
      </c>
      <c r="E155" s="9" t="s">
        <v>625</v>
      </c>
      <c r="F155" s="9" t="s">
        <v>54</v>
      </c>
      <c r="G155" s="9" t="s">
        <v>564</v>
      </c>
      <c r="H155" s="9" t="s">
        <v>564</v>
      </c>
      <c r="I155" s="8" t="s">
        <v>49</v>
      </c>
      <c r="J155" s="8" t="s">
        <v>73</v>
      </c>
    </row>
    <row r="156" spans="1:10" ht="39" customHeight="1">
      <c r="A156" s="8">
        <v>156</v>
      </c>
      <c r="B156" s="9" t="s">
        <v>552</v>
      </c>
      <c r="C156" s="8" t="s">
        <v>626</v>
      </c>
      <c r="D156" s="9" t="s">
        <v>627</v>
      </c>
      <c r="E156" s="9" t="s">
        <v>628</v>
      </c>
      <c r="F156" s="9" t="s">
        <v>54</v>
      </c>
      <c r="G156" s="9" t="s">
        <v>568</v>
      </c>
      <c r="H156" s="9" t="s">
        <v>568</v>
      </c>
      <c r="I156" s="8" t="s">
        <v>49</v>
      </c>
      <c r="J156" s="8" t="s">
        <v>73</v>
      </c>
    </row>
    <row r="157" spans="1:10" ht="39" customHeight="1">
      <c r="A157" s="8">
        <v>157</v>
      </c>
      <c r="B157" s="9" t="s">
        <v>552</v>
      </c>
      <c r="C157" s="8" t="s">
        <v>629</v>
      </c>
      <c r="D157" s="9" t="s">
        <v>630</v>
      </c>
      <c r="E157" s="9" t="s">
        <v>631</v>
      </c>
      <c r="F157" s="9" t="s">
        <v>54</v>
      </c>
      <c r="G157" s="9" t="s">
        <v>556</v>
      </c>
      <c r="H157" s="9" t="s">
        <v>556</v>
      </c>
      <c r="I157" s="8" t="s">
        <v>49</v>
      </c>
      <c r="J157" s="8" t="s">
        <v>73</v>
      </c>
    </row>
    <row r="158" spans="1:10" ht="39" customHeight="1">
      <c r="A158" s="8">
        <v>158</v>
      </c>
      <c r="B158" s="9" t="s">
        <v>552</v>
      </c>
      <c r="C158" s="8" t="s">
        <v>632</v>
      </c>
      <c r="D158" s="9" t="s">
        <v>633</v>
      </c>
      <c r="E158" s="9" t="s">
        <v>634</v>
      </c>
      <c r="F158" s="9" t="s">
        <v>54</v>
      </c>
      <c r="G158" s="9" t="s">
        <v>560</v>
      </c>
      <c r="H158" s="9" t="s">
        <v>560</v>
      </c>
      <c r="I158" s="8" t="s">
        <v>49</v>
      </c>
      <c r="J158" s="8" t="s">
        <v>73</v>
      </c>
    </row>
    <row r="159" spans="1:10" ht="39" customHeight="1">
      <c r="A159" s="8">
        <v>159</v>
      </c>
      <c r="B159" s="9" t="s">
        <v>552</v>
      </c>
      <c r="C159" s="8" t="s">
        <v>635</v>
      </c>
      <c r="D159" s="9" t="s">
        <v>636</v>
      </c>
      <c r="E159" s="9" t="s">
        <v>637</v>
      </c>
      <c r="F159" s="9" t="s">
        <v>54</v>
      </c>
      <c r="G159" s="9" t="s">
        <v>564</v>
      </c>
      <c r="H159" s="9" t="s">
        <v>564</v>
      </c>
      <c r="I159" s="8" t="s">
        <v>49</v>
      </c>
      <c r="J159" s="8" t="s">
        <v>73</v>
      </c>
    </row>
    <row r="160" spans="1:10" ht="39" customHeight="1">
      <c r="A160" s="8">
        <v>160</v>
      </c>
      <c r="B160" s="9" t="s">
        <v>552</v>
      </c>
      <c r="C160" s="8" t="s">
        <v>638</v>
      </c>
      <c r="D160" s="9" t="s">
        <v>639</v>
      </c>
      <c r="E160" s="9" t="s">
        <v>640</v>
      </c>
      <c r="F160" s="9" t="s">
        <v>54</v>
      </c>
      <c r="G160" s="9" t="s">
        <v>568</v>
      </c>
      <c r="H160" s="9" t="s">
        <v>568</v>
      </c>
      <c r="I160" s="8" t="s">
        <v>49</v>
      </c>
      <c r="J160" s="8" t="s">
        <v>73</v>
      </c>
    </row>
    <row r="161" spans="1:10" ht="39" customHeight="1">
      <c r="A161" s="8">
        <v>161</v>
      </c>
      <c r="B161" s="9" t="s">
        <v>641</v>
      </c>
      <c r="C161" s="8" t="s">
        <v>642</v>
      </c>
      <c r="D161" s="9" t="s">
        <v>643</v>
      </c>
      <c r="E161" s="9" t="s">
        <v>644</v>
      </c>
      <c r="F161" s="9" t="s">
        <v>54</v>
      </c>
      <c r="G161" s="9" t="s">
        <v>645</v>
      </c>
      <c r="H161" s="9" t="s">
        <v>645</v>
      </c>
      <c r="I161" s="8" t="s">
        <v>49</v>
      </c>
      <c r="J161" s="8" t="s">
        <v>73</v>
      </c>
    </row>
    <row r="162" spans="1:10" ht="39" customHeight="1">
      <c r="A162" s="8">
        <v>162</v>
      </c>
      <c r="B162" s="9" t="s">
        <v>641</v>
      </c>
      <c r="C162" s="8" t="s">
        <v>646</v>
      </c>
      <c r="D162" s="9" t="s">
        <v>647</v>
      </c>
      <c r="E162" s="9" t="s">
        <v>648</v>
      </c>
      <c r="F162" s="9" t="s">
        <v>54</v>
      </c>
      <c r="G162" s="9" t="s">
        <v>649</v>
      </c>
      <c r="H162" s="9" t="s">
        <v>649</v>
      </c>
      <c r="I162" s="8" t="s">
        <v>49</v>
      </c>
      <c r="J162" s="8" t="s">
        <v>73</v>
      </c>
    </row>
    <row r="163" spans="1:10" ht="39" customHeight="1">
      <c r="A163" s="8">
        <v>163</v>
      </c>
      <c r="B163" s="9" t="s">
        <v>641</v>
      </c>
      <c r="C163" s="8" t="s">
        <v>650</v>
      </c>
      <c r="D163" s="9" t="s">
        <v>651</v>
      </c>
      <c r="E163" s="9" t="s">
        <v>652</v>
      </c>
      <c r="F163" s="9" t="s">
        <v>54</v>
      </c>
      <c r="G163" s="9" t="s">
        <v>653</v>
      </c>
      <c r="H163" s="9" t="s">
        <v>653</v>
      </c>
      <c r="I163" s="8" t="s">
        <v>49</v>
      </c>
      <c r="J163" s="8" t="s">
        <v>50</v>
      </c>
    </row>
    <row r="164" spans="1:10" ht="39" customHeight="1">
      <c r="A164" s="8">
        <v>164</v>
      </c>
      <c r="B164" s="9" t="s">
        <v>641</v>
      </c>
      <c r="C164" s="8" t="s">
        <v>654</v>
      </c>
      <c r="D164" s="9" t="s">
        <v>655</v>
      </c>
      <c r="E164" s="9" t="s">
        <v>656</v>
      </c>
      <c r="F164" s="9" t="s">
        <v>54</v>
      </c>
      <c r="G164" s="9" t="s">
        <v>657</v>
      </c>
      <c r="H164" s="9" t="s">
        <v>657</v>
      </c>
      <c r="I164" s="8" t="s">
        <v>49</v>
      </c>
      <c r="J164" s="8" t="s">
        <v>73</v>
      </c>
    </row>
    <row r="165" spans="1:10" ht="39" customHeight="1">
      <c r="A165" s="8">
        <v>165</v>
      </c>
      <c r="B165" s="9" t="s">
        <v>641</v>
      </c>
      <c r="C165" s="8" t="s">
        <v>658</v>
      </c>
      <c r="D165" s="9" t="s">
        <v>659</v>
      </c>
      <c r="E165" s="9" t="s">
        <v>644</v>
      </c>
      <c r="F165" s="9" t="s">
        <v>54</v>
      </c>
      <c r="G165" s="9" t="s">
        <v>645</v>
      </c>
      <c r="H165" s="9" t="s">
        <v>645</v>
      </c>
      <c r="I165" s="8" t="s">
        <v>49</v>
      </c>
      <c r="J165" s="8" t="s">
        <v>73</v>
      </c>
    </row>
    <row r="166" spans="1:10" ht="39" customHeight="1">
      <c r="A166" s="8">
        <v>166</v>
      </c>
      <c r="B166" s="9" t="s">
        <v>641</v>
      </c>
      <c r="C166" s="8" t="s">
        <v>660</v>
      </c>
      <c r="D166" s="9" t="s">
        <v>661</v>
      </c>
      <c r="E166" s="9" t="s">
        <v>648</v>
      </c>
      <c r="F166" s="9" t="s">
        <v>54</v>
      </c>
      <c r="G166" s="9" t="s">
        <v>649</v>
      </c>
      <c r="H166" s="9" t="s">
        <v>649</v>
      </c>
      <c r="I166" s="8" t="s">
        <v>49</v>
      </c>
      <c r="J166" s="8" t="s">
        <v>73</v>
      </c>
    </row>
    <row r="167" spans="1:10" ht="39" customHeight="1">
      <c r="A167" s="8">
        <v>167</v>
      </c>
      <c r="B167" s="9" t="s">
        <v>641</v>
      </c>
      <c r="C167" s="8" t="s">
        <v>662</v>
      </c>
      <c r="D167" s="9" t="s">
        <v>663</v>
      </c>
      <c r="E167" s="9" t="s">
        <v>652</v>
      </c>
      <c r="F167" s="9" t="s">
        <v>54</v>
      </c>
      <c r="G167" s="9" t="s">
        <v>653</v>
      </c>
      <c r="H167" s="9" t="s">
        <v>653</v>
      </c>
      <c r="I167" s="8" t="s">
        <v>49</v>
      </c>
      <c r="J167" s="8" t="s">
        <v>50</v>
      </c>
    </row>
    <row r="168" spans="1:10" ht="39" customHeight="1">
      <c r="A168" s="8">
        <v>168</v>
      </c>
      <c r="B168" s="9" t="s">
        <v>641</v>
      </c>
      <c r="C168" s="8" t="s">
        <v>664</v>
      </c>
      <c r="D168" s="9" t="s">
        <v>665</v>
      </c>
      <c r="E168" s="9" t="s">
        <v>656</v>
      </c>
      <c r="F168" s="9" t="s">
        <v>54</v>
      </c>
      <c r="G168" s="9" t="s">
        <v>657</v>
      </c>
      <c r="H168" s="9" t="s">
        <v>657</v>
      </c>
      <c r="I168" s="8" t="s">
        <v>49</v>
      </c>
      <c r="J168" s="8" t="s">
        <v>73</v>
      </c>
    </row>
    <row r="169" spans="1:10" ht="39" customHeight="1">
      <c r="A169" s="8">
        <v>169</v>
      </c>
      <c r="B169" s="9" t="s">
        <v>641</v>
      </c>
      <c r="C169" s="8" t="s">
        <v>666</v>
      </c>
      <c r="D169" s="9" t="s">
        <v>667</v>
      </c>
      <c r="E169" s="9" t="s">
        <v>644</v>
      </c>
      <c r="F169" s="9" t="s">
        <v>54</v>
      </c>
      <c r="G169" s="9" t="s">
        <v>645</v>
      </c>
      <c r="H169" s="9" t="s">
        <v>645</v>
      </c>
      <c r="I169" s="8" t="s">
        <v>49</v>
      </c>
      <c r="J169" s="8" t="s">
        <v>73</v>
      </c>
    </row>
    <row r="170" spans="1:10" ht="39" customHeight="1">
      <c r="A170" s="8">
        <v>170</v>
      </c>
      <c r="B170" s="9" t="s">
        <v>641</v>
      </c>
      <c r="C170" s="8" t="s">
        <v>668</v>
      </c>
      <c r="D170" s="9" t="s">
        <v>669</v>
      </c>
      <c r="E170" s="9" t="s">
        <v>648</v>
      </c>
      <c r="F170" s="9" t="s">
        <v>54</v>
      </c>
      <c r="G170" s="9" t="s">
        <v>649</v>
      </c>
      <c r="H170" s="9" t="s">
        <v>649</v>
      </c>
      <c r="I170" s="8" t="s">
        <v>49</v>
      </c>
      <c r="J170" s="8" t="s">
        <v>73</v>
      </c>
    </row>
    <row r="171" spans="1:10" ht="39" customHeight="1">
      <c r="A171" s="8">
        <v>171</v>
      </c>
      <c r="B171" s="9" t="s">
        <v>641</v>
      </c>
      <c r="C171" s="8" t="s">
        <v>670</v>
      </c>
      <c r="D171" s="9" t="s">
        <v>671</v>
      </c>
      <c r="E171" s="9" t="s">
        <v>652</v>
      </c>
      <c r="F171" s="9" t="s">
        <v>54</v>
      </c>
      <c r="G171" s="9" t="s">
        <v>653</v>
      </c>
      <c r="H171" s="9" t="s">
        <v>653</v>
      </c>
      <c r="I171" s="8" t="s">
        <v>49</v>
      </c>
      <c r="J171" s="8" t="s">
        <v>50</v>
      </c>
    </row>
    <row r="172" spans="1:10" ht="39" customHeight="1">
      <c r="A172" s="8">
        <v>172</v>
      </c>
      <c r="B172" s="9" t="s">
        <v>641</v>
      </c>
      <c r="C172" s="8" t="s">
        <v>672</v>
      </c>
      <c r="D172" s="9" t="s">
        <v>673</v>
      </c>
      <c r="E172" s="9" t="s">
        <v>656</v>
      </c>
      <c r="F172" s="9" t="s">
        <v>54</v>
      </c>
      <c r="G172" s="9" t="s">
        <v>657</v>
      </c>
      <c r="H172" s="9" t="s">
        <v>657</v>
      </c>
      <c r="I172" s="8" t="s">
        <v>49</v>
      </c>
      <c r="J172" s="8" t="s">
        <v>73</v>
      </c>
    </row>
    <row r="173" spans="1:10" ht="39" customHeight="1">
      <c r="A173" s="8">
        <v>173</v>
      </c>
      <c r="B173" s="9" t="s">
        <v>641</v>
      </c>
      <c r="C173" s="8" t="s">
        <v>674</v>
      </c>
      <c r="D173" s="9" t="s">
        <v>675</v>
      </c>
      <c r="E173" s="9" t="s">
        <v>644</v>
      </c>
      <c r="F173" s="9" t="s">
        <v>54</v>
      </c>
      <c r="G173" s="9" t="s">
        <v>645</v>
      </c>
      <c r="H173" s="9" t="s">
        <v>645</v>
      </c>
      <c r="I173" s="8" t="s">
        <v>49</v>
      </c>
      <c r="J173" s="8" t="s">
        <v>73</v>
      </c>
    </row>
    <row r="174" spans="1:10" ht="39" customHeight="1">
      <c r="A174" s="8">
        <v>174</v>
      </c>
      <c r="B174" s="9" t="s">
        <v>641</v>
      </c>
      <c r="C174" s="8" t="s">
        <v>676</v>
      </c>
      <c r="D174" s="9" t="s">
        <v>677</v>
      </c>
      <c r="E174" s="9" t="s">
        <v>648</v>
      </c>
      <c r="F174" s="9" t="s">
        <v>54</v>
      </c>
      <c r="G174" s="9" t="s">
        <v>649</v>
      </c>
      <c r="H174" s="9" t="s">
        <v>649</v>
      </c>
      <c r="I174" s="8" t="s">
        <v>49</v>
      </c>
      <c r="J174" s="8" t="s">
        <v>73</v>
      </c>
    </row>
    <row r="175" spans="1:10" ht="39" customHeight="1">
      <c r="A175" s="8">
        <v>175</v>
      </c>
      <c r="B175" s="9" t="s">
        <v>641</v>
      </c>
      <c r="C175" s="8" t="s">
        <v>678</v>
      </c>
      <c r="D175" s="9" t="s">
        <v>679</v>
      </c>
      <c r="E175" s="9" t="s">
        <v>652</v>
      </c>
      <c r="F175" s="9" t="s">
        <v>54</v>
      </c>
      <c r="G175" s="9" t="s">
        <v>653</v>
      </c>
      <c r="H175" s="9" t="s">
        <v>653</v>
      </c>
      <c r="I175" s="8" t="s">
        <v>49</v>
      </c>
      <c r="J175" s="8" t="s">
        <v>50</v>
      </c>
    </row>
    <row r="176" spans="1:10" ht="39" customHeight="1">
      <c r="A176" s="8">
        <v>176</v>
      </c>
      <c r="B176" s="9" t="s">
        <v>641</v>
      </c>
      <c r="C176" s="8" t="s">
        <v>680</v>
      </c>
      <c r="D176" s="9" t="s">
        <v>681</v>
      </c>
      <c r="E176" s="9" t="s">
        <v>656</v>
      </c>
      <c r="F176" s="9" t="s">
        <v>54</v>
      </c>
      <c r="G176" s="9" t="s">
        <v>657</v>
      </c>
      <c r="H176" s="9" t="s">
        <v>657</v>
      </c>
      <c r="I176" s="8" t="s">
        <v>49</v>
      </c>
      <c r="J176" s="8" t="s">
        <v>73</v>
      </c>
    </row>
    <row r="177" spans="1:10" ht="39" customHeight="1">
      <c r="A177" s="8">
        <v>177</v>
      </c>
      <c r="B177" s="9" t="s">
        <v>641</v>
      </c>
      <c r="C177" s="8" t="s">
        <v>682</v>
      </c>
      <c r="D177" s="9" t="s">
        <v>683</v>
      </c>
      <c r="E177" s="9" t="s">
        <v>644</v>
      </c>
      <c r="F177" s="9" t="s">
        <v>54</v>
      </c>
      <c r="G177" s="9" t="s">
        <v>645</v>
      </c>
      <c r="H177" s="9" t="s">
        <v>645</v>
      </c>
      <c r="I177" s="8" t="s">
        <v>49</v>
      </c>
      <c r="J177" s="8" t="s">
        <v>73</v>
      </c>
    </row>
    <row r="178" spans="1:10" ht="39" customHeight="1">
      <c r="A178" s="8">
        <v>178</v>
      </c>
      <c r="B178" s="9" t="s">
        <v>641</v>
      </c>
      <c r="C178" s="8" t="s">
        <v>684</v>
      </c>
      <c r="D178" s="9" t="s">
        <v>685</v>
      </c>
      <c r="E178" s="9" t="s">
        <v>648</v>
      </c>
      <c r="F178" s="9" t="s">
        <v>54</v>
      </c>
      <c r="G178" s="9" t="s">
        <v>649</v>
      </c>
      <c r="H178" s="9" t="s">
        <v>649</v>
      </c>
      <c r="I178" s="8" t="s">
        <v>49</v>
      </c>
      <c r="J178" s="8" t="s">
        <v>73</v>
      </c>
    </row>
    <row r="179" spans="1:10" ht="39" customHeight="1">
      <c r="A179" s="8">
        <v>179</v>
      </c>
      <c r="B179" s="9" t="s">
        <v>641</v>
      </c>
      <c r="C179" s="8" t="s">
        <v>686</v>
      </c>
      <c r="D179" s="9" t="s">
        <v>687</v>
      </c>
      <c r="E179" s="9" t="s">
        <v>652</v>
      </c>
      <c r="F179" s="9" t="s">
        <v>54</v>
      </c>
      <c r="G179" s="9" t="s">
        <v>653</v>
      </c>
      <c r="H179" s="9" t="s">
        <v>653</v>
      </c>
      <c r="I179" s="8" t="s">
        <v>49</v>
      </c>
      <c r="J179" s="8" t="s">
        <v>50</v>
      </c>
    </row>
    <row r="180" spans="1:10" ht="39" customHeight="1">
      <c r="A180" s="8">
        <v>180</v>
      </c>
      <c r="B180" s="9" t="s">
        <v>641</v>
      </c>
      <c r="C180" s="8" t="s">
        <v>688</v>
      </c>
      <c r="D180" s="9" t="s">
        <v>689</v>
      </c>
      <c r="E180" s="9" t="s">
        <v>656</v>
      </c>
      <c r="F180" s="9" t="s">
        <v>54</v>
      </c>
      <c r="G180" s="9" t="s">
        <v>657</v>
      </c>
      <c r="H180" s="9" t="s">
        <v>657</v>
      </c>
      <c r="I180" s="8" t="s">
        <v>49</v>
      </c>
      <c r="J180" s="8" t="s">
        <v>73</v>
      </c>
    </row>
    <row r="181" spans="1:10" ht="39" customHeight="1">
      <c r="A181" s="8">
        <v>181</v>
      </c>
      <c r="B181" s="9" t="s">
        <v>641</v>
      </c>
      <c r="C181" s="8" t="s">
        <v>690</v>
      </c>
      <c r="D181" s="9" t="s">
        <v>691</v>
      </c>
      <c r="E181" s="9" t="s">
        <v>644</v>
      </c>
      <c r="F181" s="9" t="s">
        <v>54</v>
      </c>
      <c r="G181" s="9" t="s">
        <v>645</v>
      </c>
      <c r="H181" s="9" t="s">
        <v>645</v>
      </c>
      <c r="I181" s="8" t="s">
        <v>49</v>
      </c>
      <c r="J181" s="8" t="s">
        <v>73</v>
      </c>
    </row>
    <row r="182" spans="1:10" ht="39" customHeight="1">
      <c r="A182" s="8">
        <v>182</v>
      </c>
      <c r="B182" s="9" t="s">
        <v>641</v>
      </c>
      <c r="C182" s="8" t="s">
        <v>692</v>
      </c>
      <c r="D182" s="9" t="s">
        <v>693</v>
      </c>
      <c r="E182" s="9" t="s">
        <v>648</v>
      </c>
      <c r="F182" s="9" t="s">
        <v>54</v>
      </c>
      <c r="G182" s="9" t="s">
        <v>649</v>
      </c>
      <c r="H182" s="9" t="s">
        <v>649</v>
      </c>
      <c r="I182" s="8" t="s">
        <v>49</v>
      </c>
      <c r="J182" s="8" t="s">
        <v>73</v>
      </c>
    </row>
    <row r="183" spans="1:10" ht="39" customHeight="1">
      <c r="A183" s="8">
        <v>183</v>
      </c>
      <c r="B183" s="9" t="s">
        <v>641</v>
      </c>
      <c r="C183" s="8" t="s">
        <v>694</v>
      </c>
      <c r="D183" s="9" t="s">
        <v>695</v>
      </c>
      <c r="E183" s="9" t="s">
        <v>652</v>
      </c>
      <c r="F183" s="9" t="s">
        <v>54</v>
      </c>
      <c r="G183" s="9" t="s">
        <v>653</v>
      </c>
      <c r="H183" s="9" t="s">
        <v>653</v>
      </c>
      <c r="I183" s="8" t="s">
        <v>49</v>
      </c>
      <c r="J183" s="8" t="s">
        <v>50</v>
      </c>
    </row>
    <row r="184" spans="1:10" ht="39" customHeight="1">
      <c r="A184" s="8">
        <v>184</v>
      </c>
      <c r="B184" s="9" t="s">
        <v>641</v>
      </c>
      <c r="C184" s="8" t="s">
        <v>696</v>
      </c>
      <c r="D184" s="9" t="s">
        <v>697</v>
      </c>
      <c r="E184" s="9" t="s">
        <v>656</v>
      </c>
      <c r="F184" s="9" t="s">
        <v>54</v>
      </c>
      <c r="G184" s="9" t="s">
        <v>657</v>
      </c>
      <c r="H184" s="9" t="s">
        <v>657</v>
      </c>
      <c r="I184" s="8" t="s">
        <v>49</v>
      </c>
      <c r="J184" s="8" t="s">
        <v>73</v>
      </c>
    </row>
    <row r="185" spans="1:10" ht="39" customHeight="1">
      <c r="A185" s="8">
        <v>185</v>
      </c>
      <c r="B185" s="9" t="s">
        <v>698</v>
      </c>
      <c r="C185" s="8" t="s">
        <v>699</v>
      </c>
      <c r="D185" s="9" t="s">
        <v>700</v>
      </c>
      <c r="E185" s="9" t="s">
        <v>701</v>
      </c>
      <c r="F185" s="9" t="s">
        <v>54</v>
      </c>
      <c r="G185" s="9" t="s">
        <v>702</v>
      </c>
      <c r="H185" s="9" t="s">
        <v>702</v>
      </c>
      <c r="I185" s="8" t="s">
        <v>49</v>
      </c>
      <c r="J185" s="8" t="s">
        <v>50</v>
      </c>
    </row>
    <row r="186" spans="1:10" ht="39" customHeight="1">
      <c r="A186" s="8">
        <v>186</v>
      </c>
      <c r="B186" s="9" t="s">
        <v>698</v>
      </c>
      <c r="C186" s="8" t="s">
        <v>703</v>
      </c>
      <c r="D186" s="9" t="s">
        <v>704</v>
      </c>
      <c r="E186" s="9" t="s">
        <v>705</v>
      </c>
      <c r="F186" s="9" t="s">
        <v>54</v>
      </c>
      <c r="G186" s="9" t="s">
        <v>706</v>
      </c>
      <c r="H186" s="9" t="s">
        <v>706</v>
      </c>
      <c r="I186" s="8" t="s">
        <v>49</v>
      </c>
      <c r="J186" s="8" t="s">
        <v>73</v>
      </c>
    </row>
    <row r="187" spans="1:10" ht="39" customHeight="1">
      <c r="A187" s="8">
        <v>187</v>
      </c>
      <c r="B187" s="9" t="s">
        <v>698</v>
      </c>
      <c r="C187" s="8" t="s">
        <v>707</v>
      </c>
      <c r="D187" s="9" t="s">
        <v>708</v>
      </c>
      <c r="E187" s="9" t="s">
        <v>709</v>
      </c>
      <c r="F187" s="9" t="s">
        <v>54</v>
      </c>
      <c r="G187" s="9" t="s">
        <v>710</v>
      </c>
      <c r="H187" s="9" t="s">
        <v>710</v>
      </c>
      <c r="I187" s="8" t="s">
        <v>49</v>
      </c>
      <c r="J187" s="8" t="s">
        <v>50</v>
      </c>
    </row>
    <row r="188" spans="1:10" ht="39" customHeight="1">
      <c r="A188" s="8">
        <v>188</v>
      </c>
      <c r="B188" s="9" t="s">
        <v>698</v>
      </c>
      <c r="C188" s="8" t="s">
        <v>711</v>
      </c>
      <c r="D188" s="9" t="s">
        <v>712</v>
      </c>
      <c r="E188" s="9" t="s">
        <v>713</v>
      </c>
      <c r="F188" s="9" t="s">
        <v>54</v>
      </c>
      <c r="G188" s="9" t="s">
        <v>714</v>
      </c>
      <c r="H188" s="9" t="s">
        <v>714</v>
      </c>
      <c r="I188" s="8" t="s">
        <v>49</v>
      </c>
      <c r="J188" s="8" t="s">
        <v>73</v>
      </c>
    </row>
    <row r="189" spans="1:10" ht="39" customHeight="1">
      <c r="A189" s="8">
        <v>189</v>
      </c>
      <c r="B189" s="9" t="s">
        <v>698</v>
      </c>
      <c r="C189" s="8" t="s">
        <v>715</v>
      </c>
      <c r="D189" s="9" t="s">
        <v>716</v>
      </c>
      <c r="E189" s="9" t="s">
        <v>717</v>
      </c>
      <c r="F189" s="9" t="s">
        <v>54</v>
      </c>
      <c r="G189" s="9" t="s">
        <v>718</v>
      </c>
      <c r="H189" s="9" t="s">
        <v>718</v>
      </c>
      <c r="I189" s="8" t="s">
        <v>49</v>
      </c>
      <c r="J189" s="8" t="s">
        <v>73</v>
      </c>
    </row>
    <row r="190" spans="1:10" ht="39" customHeight="1">
      <c r="A190" s="8">
        <v>190</v>
      </c>
      <c r="B190" s="9" t="s">
        <v>698</v>
      </c>
      <c r="C190" s="8" t="s">
        <v>719</v>
      </c>
      <c r="D190" s="9" t="s">
        <v>720</v>
      </c>
      <c r="E190" s="9" t="s">
        <v>721</v>
      </c>
      <c r="F190" s="9" t="s">
        <v>54</v>
      </c>
      <c r="G190" s="9" t="s">
        <v>702</v>
      </c>
      <c r="H190" s="9" t="s">
        <v>702</v>
      </c>
      <c r="I190" s="8" t="s">
        <v>49</v>
      </c>
      <c r="J190" s="8" t="s">
        <v>50</v>
      </c>
    </row>
    <row r="191" spans="1:10" ht="39" customHeight="1">
      <c r="A191" s="8">
        <v>191</v>
      </c>
      <c r="B191" s="9" t="s">
        <v>698</v>
      </c>
      <c r="C191" s="8" t="s">
        <v>722</v>
      </c>
      <c r="D191" s="9" t="s">
        <v>723</v>
      </c>
      <c r="E191" s="9" t="s">
        <v>724</v>
      </c>
      <c r="F191" s="9" t="s">
        <v>54</v>
      </c>
      <c r="G191" s="9" t="s">
        <v>706</v>
      </c>
      <c r="H191" s="9" t="s">
        <v>706</v>
      </c>
      <c r="I191" s="8" t="s">
        <v>49</v>
      </c>
      <c r="J191" s="8" t="s">
        <v>73</v>
      </c>
    </row>
    <row r="192" spans="1:10" ht="39" customHeight="1">
      <c r="A192" s="8">
        <v>192</v>
      </c>
      <c r="B192" s="9" t="s">
        <v>698</v>
      </c>
      <c r="C192" s="8" t="s">
        <v>725</v>
      </c>
      <c r="D192" s="9" t="s">
        <v>726</v>
      </c>
      <c r="E192" s="9" t="s">
        <v>727</v>
      </c>
      <c r="F192" s="9" t="s">
        <v>54</v>
      </c>
      <c r="G192" s="9" t="s">
        <v>710</v>
      </c>
      <c r="H192" s="9" t="s">
        <v>710</v>
      </c>
      <c r="I192" s="8" t="s">
        <v>49</v>
      </c>
      <c r="J192" s="8" t="s">
        <v>50</v>
      </c>
    </row>
    <row r="193" spans="1:10" ht="39" customHeight="1">
      <c r="A193" s="8">
        <v>193</v>
      </c>
      <c r="B193" s="9" t="s">
        <v>698</v>
      </c>
      <c r="C193" s="8" t="s">
        <v>728</v>
      </c>
      <c r="D193" s="9" t="s">
        <v>729</v>
      </c>
      <c r="E193" s="9" t="s">
        <v>730</v>
      </c>
      <c r="F193" s="9" t="s">
        <v>54</v>
      </c>
      <c r="G193" s="9" t="s">
        <v>714</v>
      </c>
      <c r="H193" s="9" t="s">
        <v>714</v>
      </c>
      <c r="I193" s="8" t="s">
        <v>49</v>
      </c>
      <c r="J193" s="8" t="s">
        <v>73</v>
      </c>
    </row>
    <row r="194" spans="1:10" ht="39" customHeight="1">
      <c r="A194" s="8">
        <v>194</v>
      </c>
      <c r="B194" s="9" t="s">
        <v>698</v>
      </c>
      <c r="C194" s="8" t="s">
        <v>731</v>
      </c>
      <c r="D194" s="9" t="s">
        <v>732</v>
      </c>
      <c r="E194" s="9" t="s">
        <v>733</v>
      </c>
      <c r="F194" s="9" t="s">
        <v>54</v>
      </c>
      <c r="G194" s="9" t="s">
        <v>718</v>
      </c>
      <c r="H194" s="9" t="s">
        <v>718</v>
      </c>
      <c r="I194" s="8" t="s">
        <v>49</v>
      </c>
      <c r="J194" s="8" t="s">
        <v>73</v>
      </c>
    </row>
    <row r="195" spans="1:10" ht="39" customHeight="1">
      <c r="A195" s="8">
        <v>195</v>
      </c>
      <c r="B195" s="9" t="s">
        <v>698</v>
      </c>
      <c r="C195" s="8" t="s">
        <v>734</v>
      </c>
      <c r="D195" s="9" t="s">
        <v>735</v>
      </c>
      <c r="E195" s="9" t="s">
        <v>736</v>
      </c>
      <c r="F195" s="9" t="s">
        <v>54</v>
      </c>
      <c r="G195" s="9" t="s">
        <v>702</v>
      </c>
      <c r="H195" s="9" t="s">
        <v>702</v>
      </c>
      <c r="I195" s="8" t="s">
        <v>49</v>
      </c>
      <c r="J195" s="8" t="s">
        <v>50</v>
      </c>
    </row>
    <row r="196" spans="1:10" ht="39" customHeight="1">
      <c r="A196" s="8">
        <v>196</v>
      </c>
      <c r="B196" s="9" t="s">
        <v>698</v>
      </c>
      <c r="C196" s="8" t="s">
        <v>737</v>
      </c>
      <c r="D196" s="9" t="s">
        <v>738</v>
      </c>
      <c r="E196" s="9" t="s">
        <v>739</v>
      </c>
      <c r="F196" s="9" t="s">
        <v>54</v>
      </c>
      <c r="G196" s="9" t="s">
        <v>706</v>
      </c>
      <c r="H196" s="9" t="s">
        <v>706</v>
      </c>
      <c r="I196" s="8" t="s">
        <v>49</v>
      </c>
      <c r="J196" s="8" t="s">
        <v>73</v>
      </c>
    </row>
    <row r="197" spans="1:10" ht="39" customHeight="1">
      <c r="A197" s="8">
        <v>197</v>
      </c>
      <c r="B197" s="9" t="s">
        <v>698</v>
      </c>
      <c r="C197" s="8" t="s">
        <v>740</v>
      </c>
      <c r="D197" s="9" t="s">
        <v>741</v>
      </c>
      <c r="E197" s="9" t="s">
        <v>742</v>
      </c>
      <c r="F197" s="9" t="s">
        <v>54</v>
      </c>
      <c r="G197" s="9" t="s">
        <v>710</v>
      </c>
      <c r="H197" s="9" t="s">
        <v>710</v>
      </c>
      <c r="I197" s="8" t="s">
        <v>49</v>
      </c>
      <c r="J197" s="8" t="s">
        <v>50</v>
      </c>
    </row>
    <row r="198" spans="1:10" ht="39" customHeight="1">
      <c r="A198" s="8">
        <v>198</v>
      </c>
      <c r="B198" s="9" t="s">
        <v>698</v>
      </c>
      <c r="C198" s="8" t="s">
        <v>743</v>
      </c>
      <c r="D198" s="9" t="s">
        <v>744</v>
      </c>
      <c r="E198" s="9" t="s">
        <v>745</v>
      </c>
      <c r="F198" s="9" t="s">
        <v>54</v>
      </c>
      <c r="G198" s="9" t="s">
        <v>714</v>
      </c>
      <c r="H198" s="9" t="s">
        <v>714</v>
      </c>
      <c r="I198" s="8" t="s">
        <v>49</v>
      </c>
      <c r="J198" s="8" t="s">
        <v>73</v>
      </c>
    </row>
    <row r="199" spans="1:10" ht="39" customHeight="1">
      <c r="A199" s="8">
        <v>199</v>
      </c>
      <c r="B199" s="9" t="s">
        <v>698</v>
      </c>
      <c r="C199" s="8" t="s">
        <v>746</v>
      </c>
      <c r="D199" s="9" t="s">
        <v>747</v>
      </c>
      <c r="E199" s="9" t="s">
        <v>748</v>
      </c>
      <c r="F199" s="9" t="s">
        <v>54</v>
      </c>
      <c r="G199" s="9" t="s">
        <v>718</v>
      </c>
      <c r="H199" s="9" t="s">
        <v>718</v>
      </c>
      <c r="I199" s="8" t="s">
        <v>49</v>
      </c>
      <c r="J199" s="8" t="s">
        <v>73</v>
      </c>
    </row>
    <row r="200" spans="1:10" ht="39" customHeight="1">
      <c r="A200" s="8">
        <v>200</v>
      </c>
      <c r="B200" s="9" t="s">
        <v>698</v>
      </c>
      <c r="C200" s="8" t="s">
        <v>749</v>
      </c>
      <c r="D200" s="9" t="s">
        <v>750</v>
      </c>
      <c r="E200" s="9" t="s">
        <v>751</v>
      </c>
      <c r="F200" s="9" t="s">
        <v>54</v>
      </c>
      <c r="G200" s="9" t="s">
        <v>702</v>
      </c>
      <c r="H200" s="9" t="s">
        <v>702</v>
      </c>
      <c r="I200" s="8" t="s">
        <v>49</v>
      </c>
      <c r="J200" s="8" t="s">
        <v>50</v>
      </c>
    </row>
    <row r="201" spans="1:10" ht="39" customHeight="1">
      <c r="A201" s="8">
        <v>201</v>
      </c>
      <c r="B201" s="9" t="s">
        <v>698</v>
      </c>
      <c r="C201" s="8" t="s">
        <v>752</v>
      </c>
      <c r="D201" s="9" t="s">
        <v>753</v>
      </c>
      <c r="E201" s="9" t="s">
        <v>754</v>
      </c>
      <c r="F201" s="9" t="s">
        <v>54</v>
      </c>
      <c r="G201" s="9" t="s">
        <v>706</v>
      </c>
      <c r="H201" s="9" t="s">
        <v>706</v>
      </c>
      <c r="I201" s="8" t="s">
        <v>49</v>
      </c>
      <c r="J201" s="8" t="s">
        <v>73</v>
      </c>
    </row>
    <row r="202" spans="1:10" ht="39" customHeight="1">
      <c r="A202" s="8">
        <v>202</v>
      </c>
      <c r="B202" s="9" t="s">
        <v>698</v>
      </c>
      <c r="C202" s="8" t="s">
        <v>755</v>
      </c>
      <c r="D202" s="9" t="s">
        <v>756</v>
      </c>
      <c r="E202" s="9" t="s">
        <v>757</v>
      </c>
      <c r="F202" s="9" t="s">
        <v>54</v>
      </c>
      <c r="G202" s="9" t="s">
        <v>710</v>
      </c>
      <c r="H202" s="9" t="s">
        <v>710</v>
      </c>
      <c r="I202" s="8" t="s">
        <v>49</v>
      </c>
      <c r="J202" s="8" t="s">
        <v>50</v>
      </c>
    </row>
    <row r="203" spans="1:10" ht="39" customHeight="1">
      <c r="A203" s="8">
        <v>203</v>
      </c>
      <c r="B203" s="9" t="s">
        <v>698</v>
      </c>
      <c r="C203" s="8" t="s">
        <v>758</v>
      </c>
      <c r="D203" s="9" t="s">
        <v>759</v>
      </c>
      <c r="E203" s="9" t="s">
        <v>760</v>
      </c>
      <c r="F203" s="9" t="s">
        <v>54</v>
      </c>
      <c r="G203" s="9" t="s">
        <v>714</v>
      </c>
      <c r="H203" s="9" t="s">
        <v>714</v>
      </c>
      <c r="I203" s="8" t="s">
        <v>49</v>
      </c>
      <c r="J203" s="8" t="s">
        <v>73</v>
      </c>
    </row>
    <row r="204" spans="1:10" ht="39" customHeight="1">
      <c r="A204" s="8">
        <v>204</v>
      </c>
      <c r="B204" s="9" t="s">
        <v>698</v>
      </c>
      <c r="C204" s="8" t="s">
        <v>761</v>
      </c>
      <c r="D204" s="9" t="s">
        <v>762</v>
      </c>
      <c r="E204" s="9" t="s">
        <v>763</v>
      </c>
      <c r="F204" s="9" t="s">
        <v>54</v>
      </c>
      <c r="G204" s="9" t="s">
        <v>718</v>
      </c>
      <c r="H204" s="9" t="s">
        <v>718</v>
      </c>
      <c r="I204" s="8" t="s">
        <v>49</v>
      </c>
      <c r="J204" s="8" t="s">
        <v>73</v>
      </c>
    </row>
    <row r="205" spans="1:10" ht="39" customHeight="1">
      <c r="A205" s="8">
        <v>205</v>
      </c>
      <c r="B205" s="9" t="s">
        <v>698</v>
      </c>
      <c r="C205" s="8" t="s">
        <v>764</v>
      </c>
      <c r="D205" s="9" t="s">
        <v>765</v>
      </c>
      <c r="E205" s="9" t="s">
        <v>766</v>
      </c>
      <c r="F205" s="9" t="s">
        <v>54</v>
      </c>
      <c r="G205" s="9" t="s">
        <v>702</v>
      </c>
      <c r="H205" s="9" t="s">
        <v>702</v>
      </c>
      <c r="I205" s="8" t="s">
        <v>49</v>
      </c>
      <c r="J205" s="8" t="s">
        <v>50</v>
      </c>
    </row>
    <row r="206" spans="1:10" ht="39" customHeight="1">
      <c r="A206" s="8">
        <v>206</v>
      </c>
      <c r="B206" s="9" t="s">
        <v>698</v>
      </c>
      <c r="C206" s="8" t="s">
        <v>767</v>
      </c>
      <c r="D206" s="9" t="s">
        <v>768</v>
      </c>
      <c r="E206" s="9" t="s">
        <v>769</v>
      </c>
      <c r="F206" s="9" t="s">
        <v>54</v>
      </c>
      <c r="G206" s="9" t="s">
        <v>706</v>
      </c>
      <c r="H206" s="9" t="s">
        <v>706</v>
      </c>
      <c r="I206" s="8" t="s">
        <v>49</v>
      </c>
      <c r="J206" s="8" t="s">
        <v>73</v>
      </c>
    </row>
    <row r="207" spans="1:10" ht="39" customHeight="1">
      <c r="A207" s="8">
        <v>207</v>
      </c>
      <c r="B207" s="9" t="s">
        <v>698</v>
      </c>
      <c r="C207" s="8" t="s">
        <v>770</v>
      </c>
      <c r="D207" s="9" t="s">
        <v>771</v>
      </c>
      <c r="E207" s="9" t="s">
        <v>772</v>
      </c>
      <c r="F207" s="9" t="s">
        <v>54</v>
      </c>
      <c r="G207" s="9" t="s">
        <v>710</v>
      </c>
      <c r="H207" s="9" t="s">
        <v>710</v>
      </c>
      <c r="I207" s="8" t="s">
        <v>49</v>
      </c>
      <c r="J207" s="8" t="s">
        <v>50</v>
      </c>
    </row>
    <row r="208" spans="1:10" ht="39" customHeight="1">
      <c r="A208" s="8">
        <v>208</v>
      </c>
      <c r="B208" s="9" t="s">
        <v>698</v>
      </c>
      <c r="C208" s="8" t="s">
        <v>773</v>
      </c>
      <c r="D208" s="9" t="s">
        <v>774</v>
      </c>
      <c r="E208" s="9" t="s">
        <v>775</v>
      </c>
      <c r="F208" s="9" t="s">
        <v>54</v>
      </c>
      <c r="G208" s="9" t="s">
        <v>714</v>
      </c>
      <c r="H208" s="9" t="s">
        <v>714</v>
      </c>
      <c r="I208" s="8" t="s">
        <v>49</v>
      </c>
      <c r="J208" s="8" t="s">
        <v>73</v>
      </c>
    </row>
    <row r="209" spans="1:10" ht="39" customHeight="1">
      <c r="A209" s="8">
        <v>209</v>
      </c>
      <c r="B209" s="9" t="s">
        <v>698</v>
      </c>
      <c r="C209" s="8" t="s">
        <v>776</v>
      </c>
      <c r="D209" s="9" t="s">
        <v>777</v>
      </c>
      <c r="E209" s="9" t="s">
        <v>778</v>
      </c>
      <c r="F209" s="9" t="s">
        <v>54</v>
      </c>
      <c r="G209" s="9" t="s">
        <v>718</v>
      </c>
      <c r="H209" s="9" t="s">
        <v>718</v>
      </c>
      <c r="I209" s="8" t="s">
        <v>49</v>
      </c>
      <c r="J209" s="8" t="s">
        <v>73</v>
      </c>
    </row>
    <row r="210" spans="1:10" ht="39" customHeight="1">
      <c r="A210" s="8">
        <v>210</v>
      </c>
      <c r="B210" s="9" t="s">
        <v>779</v>
      </c>
      <c r="C210" s="8" t="s">
        <v>780</v>
      </c>
      <c r="D210" s="9" t="s">
        <v>781</v>
      </c>
      <c r="E210" s="9" t="s">
        <v>782</v>
      </c>
      <c r="F210" s="9" t="s">
        <v>54</v>
      </c>
      <c r="G210" s="9" t="s">
        <v>783</v>
      </c>
      <c r="H210" s="9" t="s">
        <v>783</v>
      </c>
      <c r="I210" s="8" t="s">
        <v>49</v>
      </c>
      <c r="J210" s="8" t="s">
        <v>50</v>
      </c>
    </row>
    <row r="211" spans="1:10" ht="39" customHeight="1">
      <c r="A211" s="8">
        <v>211</v>
      </c>
      <c r="B211" s="9" t="s">
        <v>779</v>
      </c>
      <c r="C211" s="8" t="s">
        <v>784</v>
      </c>
      <c r="D211" s="9" t="s">
        <v>785</v>
      </c>
      <c r="E211" s="9" t="s">
        <v>786</v>
      </c>
      <c r="F211" s="9" t="s">
        <v>54</v>
      </c>
      <c r="G211" s="9" t="s">
        <v>787</v>
      </c>
      <c r="H211" s="9" t="s">
        <v>787</v>
      </c>
      <c r="I211" s="8" t="s">
        <v>49</v>
      </c>
      <c r="J211" s="8" t="s">
        <v>50</v>
      </c>
    </row>
    <row r="212" spans="1:10" ht="39" customHeight="1">
      <c r="A212" s="8">
        <v>212</v>
      </c>
      <c r="B212" s="9" t="s">
        <v>779</v>
      </c>
      <c r="C212" s="8" t="s">
        <v>788</v>
      </c>
      <c r="D212" s="9" t="s">
        <v>789</v>
      </c>
      <c r="E212" s="9" t="s">
        <v>790</v>
      </c>
      <c r="F212" s="9" t="s">
        <v>54</v>
      </c>
      <c r="G212" s="9" t="s">
        <v>791</v>
      </c>
      <c r="H212" s="9" t="s">
        <v>791</v>
      </c>
      <c r="I212" s="8" t="s">
        <v>49</v>
      </c>
      <c r="J212" s="8" t="s">
        <v>50</v>
      </c>
    </row>
    <row r="213" spans="1:10" ht="39" customHeight="1">
      <c r="A213" s="8">
        <v>213</v>
      </c>
      <c r="B213" s="9" t="s">
        <v>779</v>
      </c>
      <c r="C213" s="8" t="s">
        <v>792</v>
      </c>
      <c r="D213" s="9" t="s">
        <v>793</v>
      </c>
      <c r="E213" s="9" t="s">
        <v>794</v>
      </c>
      <c r="F213" s="9" t="s">
        <v>54</v>
      </c>
      <c r="G213" s="9" t="s">
        <v>795</v>
      </c>
      <c r="H213" s="9" t="s">
        <v>795</v>
      </c>
      <c r="I213" s="8" t="s">
        <v>49</v>
      </c>
      <c r="J213" s="8" t="s">
        <v>73</v>
      </c>
    </row>
    <row r="214" spans="1:10" ht="39" customHeight="1">
      <c r="A214" s="8">
        <v>214</v>
      </c>
      <c r="B214" s="9" t="s">
        <v>779</v>
      </c>
      <c r="C214" s="8" t="s">
        <v>796</v>
      </c>
      <c r="D214" s="9" t="s">
        <v>797</v>
      </c>
      <c r="E214" s="9" t="s">
        <v>798</v>
      </c>
      <c r="F214" s="9" t="s">
        <v>54</v>
      </c>
      <c r="G214" s="9" t="s">
        <v>799</v>
      </c>
      <c r="H214" s="9" t="s">
        <v>799</v>
      </c>
      <c r="I214" s="8" t="s">
        <v>49</v>
      </c>
      <c r="J214" s="8" t="s">
        <v>73</v>
      </c>
    </row>
    <row r="215" spans="1:10" ht="39" customHeight="1">
      <c r="A215" s="8">
        <v>215</v>
      </c>
      <c r="B215" s="9" t="s">
        <v>779</v>
      </c>
      <c r="C215" s="8" t="s">
        <v>800</v>
      </c>
      <c r="D215" s="9" t="s">
        <v>801</v>
      </c>
      <c r="E215" s="9" t="s">
        <v>802</v>
      </c>
      <c r="F215" s="9" t="s">
        <v>54</v>
      </c>
      <c r="G215" s="9" t="s">
        <v>803</v>
      </c>
      <c r="H215" s="9" t="s">
        <v>803</v>
      </c>
      <c r="I215" s="8" t="s">
        <v>49</v>
      </c>
      <c r="J215" s="8" t="s">
        <v>73</v>
      </c>
    </row>
    <row r="216" spans="1:10" ht="39" customHeight="1">
      <c r="A216" s="8">
        <v>216</v>
      </c>
      <c r="B216" s="9" t="s">
        <v>779</v>
      </c>
      <c r="C216" s="8" t="s">
        <v>804</v>
      </c>
      <c r="D216" s="9" t="s">
        <v>805</v>
      </c>
      <c r="E216" s="9" t="s">
        <v>806</v>
      </c>
      <c r="F216" s="9" t="s">
        <v>54</v>
      </c>
      <c r="G216" s="9" t="s">
        <v>807</v>
      </c>
      <c r="H216" s="9" t="s">
        <v>807</v>
      </c>
      <c r="I216" s="8" t="s">
        <v>49</v>
      </c>
      <c r="J216" s="8" t="s">
        <v>50</v>
      </c>
    </row>
    <row r="217" spans="1:10" ht="39" customHeight="1">
      <c r="A217" s="8">
        <v>217</v>
      </c>
      <c r="B217" s="9" t="s">
        <v>779</v>
      </c>
      <c r="C217" s="8" t="s">
        <v>808</v>
      </c>
      <c r="D217" s="9" t="s">
        <v>809</v>
      </c>
      <c r="E217" s="9" t="s">
        <v>810</v>
      </c>
      <c r="F217" s="9" t="s">
        <v>54</v>
      </c>
      <c r="G217" s="9" t="s">
        <v>811</v>
      </c>
      <c r="H217" s="9" t="s">
        <v>811</v>
      </c>
      <c r="I217" s="8" t="s">
        <v>49</v>
      </c>
      <c r="J217" s="8" t="s">
        <v>73</v>
      </c>
    </row>
    <row r="218" spans="1:10" ht="39" customHeight="1">
      <c r="A218" s="8">
        <v>218</v>
      </c>
      <c r="B218" s="9" t="s">
        <v>779</v>
      </c>
      <c r="C218" s="8" t="s">
        <v>812</v>
      </c>
      <c r="D218" s="9" t="s">
        <v>813</v>
      </c>
      <c r="E218" s="9" t="s">
        <v>814</v>
      </c>
      <c r="F218" s="9" t="s">
        <v>54</v>
      </c>
      <c r="G218" s="9" t="s">
        <v>815</v>
      </c>
      <c r="H218" s="9" t="s">
        <v>815</v>
      </c>
      <c r="I218" s="8" t="s">
        <v>49</v>
      </c>
      <c r="J218" s="8" t="s">
        <v>73</v>
      </c>
    </row>
    <row r="219" spans="1:10" ht="39" customHeight="1">
      <c r="A219" s="8">
        <v>219</v>
      </c>
      <c r="B219" s="9" t="s">
        <v>779</v>
      </c>
      <c r="C219" s="8" t="s">
        <v>816</v>
      </c>
      <c r="D219" s="9" t="s">
        <v>817</v>
      </c>
      <c r="E219" s="9" t="s">
        <v>818</v>
      </c>
      <c r="F219" s="9" t="s">
        <v>54</v>
      </c>
      <c r="G219" s="9" t="s">
        <v>819</v>
      </c>
      <c r="H219" s="9" t="s">
        <v>819</v>
      </c>
      <c r="I219" s="8" t="s">
        <v>49</v>
      </c>
      <c r="J219" s="8" t="s">
        <v>73</v>
      </c>
    </row>
    <row r="220" spans="1:10" ht="39" customHeight="1">
      <c r="A220" s="8">
        <v>220</v>
      </c>
      <c r="B220" s="9" t="s">
        <v>779</v>
      </c>
      <c r="C220" s="8" t="s">
        <v>820</v>
      </c>
      <c r="D220" s="9" t="s">
        <v>821</v>
      </c>
      <c r="E220" s="9" t="s">
        <v>822</v>
      </c>
      <c r="F220" s="9" t="s">
        <v>54</v>
      </c>
      <c r="G220" s="9" t="s">
        <v>823</v>
      </c>
      <c r="H220" s="9" t="s">
        <v>823</v>
      </c>
      <c r="I220" s="8" t="s">
        <v>49</v>
      </c>
      <c r="J220" s="8" t="s">
        <v>73</v>
      </c>
    </row>
    <row r="221" spans="1:10" ht="39" customHeight="1">
      <c r="A221" s="8">
        <v>221</v>
      </c>
      <c r="B221" s="9" t="s">
        <v>779</v>
      </c>
      <c r="C221" s="8" t="s">
        <v>824</v>
      </c>
      <c r="D221" s="9" t="s">
        <v>825</v>
      </c>
      <c r="E221" s="9" t="s">
        <v>826</v>
      </c>
      <c r="F221" s="9" t="s">
        <v>54</v>
      </c>
      <c r="G221" s="9" t="s">
        <v>827</v>
      </c>
      <c r="H221" s="9" t="s">
        <v>827</v>
      </c>
      <c r="I221" s="8" t="s">
        <v>49</v>
      </c>
      <c r="J221" s="8" t="s">
        <v>56</v>
      </c>
    </row>
    <row r="222" spans="1:10" ht="39" customHeight="1">
      <c r="A222" s="8">
        <v>222</v>
      </c>
      <c r="B222" s="9" t="s">
        <v>779</v>
      </c>
      <c r="C222" s="8" t="s">
        <v>828</v>
      </c>
      <c r="D222" s="9" t="s">
        <v>829</v>
      </c>
      <c r="E222" s="9" t="s">
        <v>830</v>
      </c>
      <c r="F222" s="9" t="s">
        <v>54</v>
      </c>
      <c r="G222" s="9" t="s">
        <v>831</v>
      </c>
      <c r="H222" s="9" t="s">
        <v>831</v>
      </c>
      <c r="I222" s="8" t="s">
        <v>49</v>
      </c>
      <c r="J222" s="8" t="s">
        <v>56</v>
      </c>
    </row>
    <row r="223" spans="1:10" ht="39" customHeight="1">
      <c r="A223" s="8">
        <v>223</v>
      </c>
      <c r="B223" s="9" t="s">
        <v>779</v>
      </c>
      <c r="C223" s="8" t="s">
        <v>832</v>
      </c>
      <c r="D223" s="9" t="s">
        <v>833</v>
      </c>
      <c r="E223" s="9" t="s">
        <v>834</v>
      </c>
      <c r="F223" s="9" t="s">
        <v>54</v>
      </c>
      <c r="G223" s="9" t="s">
        <v>835</v>
      </c>
      <c r="H223" s="9" t="s">
        <v>835</v>
      </c>
      <c r="I223" s="8" t="s">
        <v>49</v>
      </c>
      <c r="J223" s="8" t="s">
        <v>73</v>
      </c>
    </row>
    <row r="224" spans="1:10" ht="39" customHeight="1">
      <c r="A224" s="8">
        <v>224</v>
      </c>
      <c r="B224" s="9" t="s">
        <v>779</v>
      </c>
      <c r="C224" s="8" t="s">
        <v>836</v>
      </c>
      <c r="D224" s="9" t="s">
        <v>837</v>
      </c>
      <c r="E224" s="9" t="s">
        <v>838</v>
      </c>
      <c r="F224" s="9" t="s">
        <v>54</v>
      </c>
      <c r="G224" s="9" t="s">
        <v>839</v>
      </c>
      <c r="H224" s="9" t="s">
        <v>839</v>
      </c>
      <c r="I224" s="8" t="s">
        <v>49</v>
      </c>
      <c r="J224" s="8" t="s">
        <v>56</v>
      </c>
    </row>
    <row r="225" spans="1:10" ht="39" customHeight="1">
      <c r="A225" s="8">
        <v>225</v>
      </c>
      <c r="B225" s="9" t="s">
        <v>779</v>
      </c>
      <c r="C225" s="8" t="s">
        <v>840</v>
      </c>
      <c r="D225" s="9" t="s">
        <v>841</v>
      </c>
      <c r="E225" s="9" t="s">
        <v>842</v>
      </c>
      <c r="F225" s="9" t="s">
        <v>54</v>
      </c>
      <c r="G225" s="9" t="s">
        <v>843</v>
      </c>
      <c r="H225" s="9" t="s">
        <v>843</v>
      </c>
      <c r="I225" s="8" t="s">
        <v>49</v>
      </c>
      <c r="J225" s="8" t="s">
        <v>73</v>
      </c>
    </row>
    <row r="226" spans="1:10" ht="39" customHeight="1">
      <c r="A226" s="8">
        <v>226</v>
      </c>
      <c r="B226" s="9" t="s">
        <v>779</v>
      </c>
      <c r="C226" s="8" t="s">
        <v>844</v>
      </c>
      <c r="D226" s="9" t="s">
        <v>845</v>
      </c>
      <c r="E226" s="9" t="s">
        <v>846</v>
      </c>
      <c r="F226" s="9" t="s">
        <v>54</v>
      </c>
      <c r="G226" s="9" t="s">
        <v>847</v>
      </c>
      <c r="H226" s="9" t="s">
        <v>847</v>
      </c>
      <c r="I226" s="8" t="s">
        <v>49</v>
      </c>
      <c r="J226" s="8" t="s">
        <v>56</v>
      </c>
    </row>
    <row r="227" spans="1:10" ht="39" customHeight="1">
      <c r="A227" s="8">
        <v>227</v>
      </c>
      <c r="B227" s="9" t="s">
        <v>779</v>
      </c>
      <c r="C227" s="8" t="s">
        <v>848</v>
      </c>
      <c r="D227" s="9" t="s">
        <v>849</v>
      </c>
      <c r="E227" s="9" t="s">
        <v>850</v>
      </c>
      <c r="F227" s="9" t="s">
        <v>54</v>
      </c>
      <c r="G227" s="9" t="s">
        <v>851</v>
      </c>
      <c r="H227" s="9" t="s">
        <v>851</v>
      </c>
      <c r="I227" s="8" t="s">
        <v>49</v>
      </c>
      <c r="J227" s="8" t="s">
        <v>73</v>
      </c>
    </row>
    <row r="228" spans="1:10" ht="39" customHeight="1">
      <c r="A228" s="8">
        <v>228</v>
      </c>
      <c r="B228" s="9" t="s">
        <v>779</v>
      </c>
      <c r="C228" s="8" t="s">
        <v>852</v>
      </c>
      <c r="D228" s="9" t="s">
        <v>853</v>
      </c>
      <c r="E228" s="9" t="s">
        <v>854</v>
      </c>
      <c r="F228" s="9" t="s">
        <v>54</v>
      </c>
      <c r="G228" s="9" t="s">
        <v>855</v>
      </c>
      <c r="H228" s="9" t="s">
        <v>855</v>
      </c>
      <c r="I228" s="8" t="s">
        <v>49</v>
      </c>
      <c r="J228" s="8" t="s">
        <v>73</v>
      </c>
    </row>
    <row r="229" spans="1:10" ht="39" customHeight="1">
      <c r="A229" s="8">
        <v>229</v>
      </c>
      <c r="B229" s="9" t="s">
        <v>779</v>
      </c>
      <c r="C229" s="8" t="s">
        <v>856</v>
      </c>
      <c r="D229" s="9" t="s">
        <v>857</v>
      </c>
      <c r="E229" s="9" t="s">
        <v>858</v>
      </c>
      <c r="F229" s="9" t="s">
        <v>54</v>
      </c>
      <c r="G229" s="9" t="s">
        <v>859</v>
      </c>
      <c r="H229" s="9" t="s">
        <v>859</v>
      </c>
      <c r="I229" s="8" t="s">
        <v>49</v>
      </c>
      <c r="J229" s="8" t="s">
        <v>73</v>
      </c>
    </row>
    <row r="230" spans="1:10" ht="39" customHeight="1">
      <c r="A230" s="8">
        <v>230</v>
      </c>
      <c r="B230" s="9" t="s">
        <v>860</v>
      </c>
      <c r="C230" s="8" t="s">
        <v>861</v>
      </c>
      <c r="D230" s="9" t="s">
        <v>862</v>
      </c>
      <c r="E230" s="9" t="s">
        <v>863</v>
      </c>
      <c r="F230" s="9" t="s">
        <v>54</v>
      </c>
      <c r="G230" s="9" t="s">
        <v>864</v>
      </c>
      <c r="H230" s="9" t="s">
        <v>864</v>
      </c>
      <c r="I230" s="8" t="s">
        <v>49</v>
      </c>
      <c r="J230" s="8" t="s">
        <v>73</v>
      </c>
    </row>
    <row r="231" spans="1:10" ht="39" customHeight="1">
      <c r="A231" s="8">
        <v>231</v>
      </c>
      <c r="B231" s="9" t="s">
        <v>860</v>
      </c>
      <c r="C231" s="8" t="s">
        <v>865</v>
      </c>
      <c r="D231" s="9" t="s">
        <v>866</v>
      </c>
      <c r="E231" s="9" t="s">
        <v>863</v>
      </c>
      <c r="F231" s="9" t="s">
        <v>54</v>
      </c>
      <c r="G231" s="9" t="s">
        <v>867</v>
      </c>
      <c r="H231" s="9" t="s">
        <v>867</v>
      </c>
      <c r="I231" s="8" t="s">
        <v>49</v>
      </c>
      <c r="J231" s="8" t="s">
        <v>73</v>
      </c>
    </row>
    <row r="232" spans="1:10" ht="39" customHeight="1">
      <c r="A232" s="8">
        <v>232</v>
      </c>
      <c r="B232" s="9" t="s">
        <v>860</v>
      </c>
      <c r="C232" s="8" t="s">
        <v>868</v>
      </c>
      <c r="D232" s="9" t="s">
        <v>869</v>
      </c>
      <c r="E232" s="9" t="s">
        <v>870</v>
      </c>
      <c r="F232" s="9" t="s">
        <v>54</v>
      </c>
      <c r="G232" s="9" t="s">
        <v>871</v>
      </c>
      <c r="H232" s="9" t="s">
        <v>871</v>
      </c>
      <c r="I232" s="8" t="s">
        <v>49</v>
      </c>
      <c r="J232" s="8" t="s">
        <v>73</v>
      </c>
    </row>
    <row r="233" spans="1:10" ht="39" customHeight="1">
      <c r="A233" s="8">
        <v>233</v>
      </c>
      <c r="B233" s="9" t="s">
        <v>860</v>
      </c>
      <c r="C233" s="8" t="s">
        <v>872</v>
      </c>
      <c r="D233" s="9" t="s">
        <v>873</v>
      </c>
      <c r="E233" s="9" t="s">
        <v>874</v>
      </c>
      <c r="F233" s="9" t="s">
        <v>54</v>
      </c>
      <c r="G233" s="9" t="s">
        <v>875</v>
      </c>
      <c r="H233" s="9" t="s">
        <v>875</v>
      </c>
      <c r="I233" s="8" t="s">
        <v>49</v>
      </c>
      <c r="J233" s="8" t="s">
        <v>73</v>
      </c>
    </row>
    <row r="234" spans="1:10" ht="39" customHeight="1">
      <c r="A234" s="8">
        <v>234</v>
      </c>
      <c r="B234" s="9" t="s">
        <v>860</v>
      </c>
      <c r="C234" s="8" t="s">
        <v>876</v>
      </c>
      <c r="D234" s="9" t="s">
        <v>877</v>
      </c>
      <c r="E234" s="9" t="s">
        <v>878</v>
      </c>
      <c r="F234" s="9" t="s">
        <v>54</v>
      </c>
      <c r="G234" s="9" t="s">
        <v>879</v>
      </c>
      <c r="H234" s="9" t="s">
        <v>879</v>
      </c>
      <c r="I234" s="8" t="s">
        <v>49</v>
      </c>
      <c r="J234" s="8" t="s">
        <v>56</v>
      </c>
    </row>
    <row r="235" spans="1:10" ht="39" customHeight="1">
      <c r="A235" s="8">
        <v>235</v>
      </c>
      <c r="B235" s="9" t="s">
        <v>860</v>
      </c>
      <c r="C235" s="8" t="s">
        <v>880</v>
      </c>
      <c r="D235" s="9" t="s">
        <v>881</v>
      </c>
      <c r="E235" s="9" t="s">
        <v>882</v>
      </c>
      <c r="F235" s="9" t="s">
        <v>54</v>
      </c>
      <c r="G235" s="9" t="s">
        <v>883</v>
      </c>
      <c r="H235" s="9" t="s">
        <v>883</v>
      </c>
      <c r="I235" s="8" t="s">
        <v>49</v>
      </c>
      <c r="J235" s="8" t="s">
        <v>56</v>
      </c>
    </row>
    <row r="236" spans="1:10" ht="39" customHeight="1">
      <c r="A236" s="8">
        <v>236</v>
      </c>
      <c r="B236" s="9" t="s">
        <v>860</v>
      </c>
      <c r="C236" s="8" t="s">
        <v>884</v>
      </c>
      <c r="D236" s="9" t="s">
        <v>885</v>
      </c>
      <c r="E236" s="9" t="s">
        <v>886</v>
      </c>
      <c r="F236" s="9" t="s">
        <v>54</v>
      </c>
      <c r="G236" s="9" t="s">
        <v>887</v>
      </c>
      <c r="H236" s="9" t="s">
        <v>887</v>
      </c>
      <c r="I236" s="8" t="s">
        <v>49</v>
      </c>
      <c r="J236" s="8" t="s">
        <v>56</v>
      </c>
    </row>
    <row r="237" spans="1:10" ht="39" customHeight="1">
      <c r="A237" s="8">
        <v>237</v>
      </c>
      <c r="B237" s="9" t="s">
        <v>860</v>
      </c>
      <c r="C237" s="8" t="s">
        <v>888</v>
      </c>
      <c r="D237" s="9" t="s">
        <v>889</v>
      </c>
      <c r="E237" s="9" t="s">
        <v>890</v>
      </c>
      <c r="F237" s="9" t="s">
        <v>54</v>
      </c>
      <c r="G237" s="9" t="s">
        <v>891</v>
      </c>
      <c r="H237" s="9" t="s">
        <v>891</v>
      </c>
      <c r="I237" s="8" t="s">
        <v>49</v>
      </c>
      <c r="J237" s="8" t="s">
        <v>50</v>
      </c>
    </row>
    <row r="238" spans="1:10" ht="39" customHeight="1">
      <c r="A238" s="8">
        <v>238</v>
      </c>
      <c r="B238" s="9" t="s">
        <v>860</v>
      </c>
      <c r="C238" s="8" t="s">
        <v>892</v>
      </c>
      <c r="D238" s="9" t="s">
        <v>893</v>
      </c>
      <c r="E238" s="9" t="s">
        <v>894</v>
      </c>
      <c r="F238" s="9" t="s">
        <v>54</v>
      </c>
      <c r="G238" s="9" t="s">
        <v>895</v>
      </c>
      <c r="H238" s="9" t="s">
        <v>895</v>
      </c>
      <c r="I238" s="8" t="s">
        <v>49</v>
      </c>
      <c r="J238" s="8" t="s">
        <v>73</v>
      </c>
    </row>
    <row r="239" spans="1:10" ht="39" customHeight="1">
      <c r="A239" s="8">
        <v>239</v>
      </c>
      <c r="B239" s="9" t="s">
        <v>860</v>
      </c>
      <c r="C239" s="8" t="s">
        <v>896</v>
      </c>
      <c r="D239" s="9" t="s">
        <v>897</v>
      </c>
      <c r="E239" s="9" t="s">
        <v>898</v>
      </c>
      <c r="F239" s="9" t="s">
        <v>54</v>
      </c>
      <c r="G239" s="9" t="s">
        <v>899</v>
      </c>
      <c r="H239" s="9" t="s">
        <v>899</v>
      </c>
      <c r="I239" s="8" t="s">
        <v>49</v>
      </c>
      <c r="J239" s="8" t="s">
        <v>73</v>
      </c>
    </row>
    <row r="240" spans="1:10" ht="39" customHeight="1">
      <c r="A240" s="8">
        <v>240</v>
      </c>
      <c r="B240" s="9" t="s">
        <v>860</v>
      </c>
      <c r="C240" s="8" t="s">
        <v>900</v>
      </c>
      <c r="D240" s="9" t="s">
        <v>901</v>
      </c>
      <c r="E240" s="9" t="s">
        <v>902</v>
      </c>
      <c r="F240" s="9" t="s">
        <v>54</v>
      </c>
      <c r="G240" s="9" t="s">
        <v>903</v>
      </c>
      <c r="H240" s="9" t="s">
        <v>903</v>
      </c>
      <c r="I240" s="8" t="s">
        <v>49</v>
      </c>
      <c r="J240" s="8" t="s">
        <v>56</v>
      </c>
    </row>
    <row r="241" spans="1:10" ht="39" customHeight="1">
      <c r="A241" s="8">
        <v>241</v>
      </c>
      <c r="B241" s="9" t="s">
        <v>860</v>
      </c>
      <c r="C241" s="8" t="s">
        <v>904</v>
      </c>
      <c r="D241" s="9" t="s">
        <v>905</v>
      </c>
      <c r="E241" s="9" t="s">
        <v>906</v>
      </c>
      <c r="F241" s="9" t="s">
        <v>54</v>
      </c>
      <c r="G241" s="9" t="s">
        <v>907</v>
      </c>
      <c r="H241" s="9" t="s">
        <v>907</v>
      </c>
      <c r="I241" s="8" t="s">
        <v>49</v>
      </c>
      <c r="J241" s="8" t="s">
        <v>56</v>
      </c>
    </row>
    <row r="242" spans="1:10" ht="39" customHeight="1">
      <c r="A242" s="8">
        <v>242</v>
      </c>
      <c r="B242" s="9" t="s">
        <v>860</v>
      </c>
      <c r="C242" s="8" t="s">
        <v>908</v>
      </c>
      <c r="D242" s="9" t="s">
        <v>909</v>
      </c>
      <c r="E242" s="9" t="s">
        <v>910</v>
      </c>
      <c r="F242" s="9" t="s">
        <v>54</v>
      </c>
      <c r="G242" s="9" t="s">
        <v>911</v>
      </c>
      <c r="H242" s="9" t="s">
        <v>911</v>
      </c>
      <c r="I242" s="8" t="s">
        <v>49</v>
      </c>
      <c r="J242" s="8" t="s">
        <v>56</v>
      </c>
    </row>
    <row r="243" spans="1:10" ht="39" customHeight="1">
      <c r="A243" s="8">
        <v>243</v>
      </c>
      <c r="B243" s="9" t="s">
        <v>860</v>
      </c>
      <c r="C243" s="8" t="s">
        <v>912</v>
      </c>
      <c r="D243" s="9" t="s">
        <v>913</v>
      </c>
      <c r="E243" s="9" t="s">
        <v>914</v>
      </c>
      <c r="F243" s="9" t="s">
        <v>54</v>
      </c>
      <c r="G243" s="9" t="s">
        <v>915</v>
      </c>
      <c r="H243" s="9" t="s">
        <v>915</v>
      </c>
      <c r="I243" s="8" t="s">
        <v>49</v>
      </c>
      <c r="J243" s="8" t="s">
        <v>56</v>
      </c>
    </row>
    <row r="244" spans="1:10" ht="39" customHeight="1">
      <c r="A244" s="8">
        <v>244</v>
      </c>
      <c r="B244" s="9" t="s">
        <v>860</v>
      </c>
      <c r="C244" s="8" t="s">
        <v>916</v>
      </c>
      <c r="D244" s="9" t="s">
        <v>917</v>
      </c>
      <c r="E244" s="9" t="s">
        <v>918</v>
      </c>
      <c r="F244" s="9" t="s">
        <v>54</v>
      </c>
      <c r="G244" s="9" t="s">
        <v>919</v>
      </c>
      <c r="H244" s="9" t="s">
        <v>919</v>
      </c>
      <c r="I244" s="8" t="s">
        <v>49</v>
      </c>
      <c r="J244" s="8" t="s">
        <v>56</v>
      </c>
    </row>
    <row r="245" spans="1:10" ht="39" customHeight="1">
      <c r="A245" s="8">
        <v>245</v>
      </c>
      <c r="B245" s="9" t="s">
        <v>920</v>
      </c>
      <c r="C245" s="8" t="s">
        <v>921</v>
      </c>
      <c r="D245" s="9" t="s">
        <v>922</v>
      </c>
      <c r="E245" s="9" t="s">
        <v>923</v>
      </c>
      <c r="F245" s="9" t="s">
        <v>54</v>
      </c>
      <c r="G245" s="9" t="s">
        <v>924</v>
      </c>
      <c r="H245" s="9" t="s">
        <v>924</v>
      </c>
      <c r="I245" s="8" t="s">
        <v>49</v>
      </c>
      <c r="J245" s="8" t="s">
        <v>50</v>
      </c>
    </row>
    <row r="246" spans="1:10" ht="39" customHeight="1">
      <c r="A246" s="8">
        <v>246</v>
      </c>
      <c r="B246" s="9" t="s">
        <v>920</v>
      </c>
      <c r="C246" s="8" t="s">
        <v>925</v>
      </c>
      <c r="D246" s="9" t="s">
        <v>926</v>
      </c>
      <c r="E246" s="9" t="s">
        <v>927</v>
      </c>
      <c r="F246" s="9" t="s">
        <v>123</v>
      </c>
      <c r="G246" s="9" t="s">
        <v>928</v>
      </c>
      <c r="H246" s="9" t="s">
        <v>928</v>
      </c>
      <c r="I246" s="8" t="s">
        <v>49</v>
      </c>
      <c r="J246" s="8" t="s">
        <v>50</v>
      </c>
    </row>
    <row r="247" spans="1:10" ht="39" customHeight="1">
      <c r="A247" s="8">
        <v>247</v>
      </c>
      <c r="B247" s="9" t="s">
        <v>920</v>
      </c>
      <c r="C247" s="8" t="s">
        <v>929</v>
      </c>
      <c r="D247" s="9" t="s">
        <v>930</v>
      </c>
      <c r="E247" s="9" t="s">
        <v>931</v>
      </c>
      <c r="F247" s="9" t="s">
        <v>123</v>
      </c>
      <c r="G247" s="9" t="s">
        <v>932</v>
      </c>
      <c r="H247" s="9" t="s">
        <v>932</v>
      </c>
      <c r="I247" s="8" t="s">
        <v>49</v>
      </c>
      <c r="J247" s="8" t="s">
        <v>50</v>
      </c>
    </row>
    <row r="248" spans="1:10" ht="39" customHeight="1">
      <c r="A248" s="8">
        <v>248</v>
      </c>
      <c r="B248" s="9" t="s">
        <v>920</v>
      </c>
      <c r="C248" s="8" t="s">
        <v>933</v>
      </c>
      <c r="D248" s="9" t="s">
        <v>934</v>
      </c>
      <c r="E248" s="9" t="s">
        <v>935</v>
      </c>
      <c r="F248" s="9" t="s">
        <v>54</v>
      </c>
      <c r="G248" s="9" t="s">
        <v>936</v>
      </c>
      <c r="H248" s="9" t="s">
        <v>936</v>
      </c>
      <c r="I248" s="8" t="s">
        <v>49</v>
      </c>
      <c r="J248" s="8" t="s">
        <v>73</v>
      </c>
    </row>
    <row r="249" spans="1:10" ht="39" customHeight="1">
      <c r="A249" s="8">
        <v>249</v>
      </c>
      <c r="B249" s="9" t="s">
        <v>920</v>
      </c>
      <c r="C249" s="8" t="s">
        <v>937</v>
      </c>
      <c r="D249" s="9" t="s">
        <v>938</v>
      </c>
      <c r="E249" s="9" t="s">
        <v>939</v>
      </c>
      <c r="F249" s="9" t="s">
        <v>54</v>
      </c>
      <c r="G249" s="9" t="s">
        <v>940</v>
      </c>
      <c r="H249" s="9" t="s">
        <v>940</v>
      </c>
      <c r="I249" s="8" t="s">
        <v>49</v>
      </c>
      <c r="J249" s="8" t="s">
        <v>73</v>
      </c>
    </row>
    <row r="250" spans="1:10" ht="39" customHeight="1">
      <c r="A250" s="8">
        <v>250</v>
      </c>
      <c r="B250" s="9" t="s">
        <v>920</v>
      </c>
      <c r="C250" s="8" t="s">
        <v>941</v>
      </c>
      <c r="D250" s="9" t="s">
        <v>942</v>
      </c>
      <c r="E250" s="9" t="s">
        <v>943</v>
      </c>
      <c r="F250" s="9" t="s">
        <v>123</v>
      </c>
      <c r="G250" s="9" t="s">
        <v>944</v>
      </c>
      <c r="H250" s="9" t="s">
        <v>944</v>
      </c>
      <c r="I250" s="8" t="s">
        <v>49</v>
      </c>
      <c r="J250" s="8" t="s">
        <v>73</v>
      </c>
    </row>
    <row r="251" spans="1:10" ht="39" customHeight="1">
      <c r="A251" s="8">
        <v>251</v>
      </c>
      <c r="B251" s="9" t="s">
        <v>920</v>
      </c>
      <c r="C251" s="8" t="s">
        <v>945</v>
      </c>
      <c r="D251" s="9" t="s">
        <v>946</v>
      </c>
      <c r="E251" s="9" t="s">
        <v>947</v>
      </c>
      <c r="F251" s="9" t="s">
        <v>123</v>
      </c>
      <c r="G251" s="9" t="s">
        <v>948</v>
      </c>
      <c r="H251" s="9" t="s">
        <v>948</v>
      </c>
      <c r="I251" s="8" t="s">
        <v>49</v>
      </c>
      <c r="J251" s="8" t="s">
        <v>73</v>
      </c>
    </row>
    <row r="252" spans="1:10" ht="26.25" customHeight="1">
      <c r="A252" s="8">
        <v>252</v>
      </c>
      <c r="B252" s="9" t="s">
        <v>920</v>
      </c>
      <c r="C252" s="8" t="s">
        <v>949</v>
      </c>
      <c r="D252" s="9" t="s">
        <v>950</v>
      </c>
      <c r="E252" s="9" t="s">
        <v>951</v>
      </c>
      <c r="F252" s="9" t="s">
        <v>123</v>
      </c>
      <c r="G252" s="9" t="s">
        <v>952</v>
      </c>
      <c r="H252" s="9" t="s">
        <v>952</v>
      </c>
      <c r="I252" s="8" t="s">
        <v>49</v>
      </c>
      <c r="J252" s="8" t="s">
        <v>73</v>
      </c>
    </row>
    <row r="253" spans="1:10" ht="39" customHeight="1">
      <c r="A253" s="8">
        <v>253</v>
      </c>
      <c r="B253" s="9" t="s">
        <v>920</v>
      </c>
      <c r="C253" s="8" t="s">
        <v>953</v>
      </c>
      <c r="D253" s="9" t="s">
        <v>954</v>
      </c>
      <c r="E253" s="9" t="s">
        <v>955</v>
      </c>
      <c r="F253" s="9" t="s">
        <v>93</v>
      </c>
      <c r="G253" s="9" t="s">
        <v>956</v>
      </c>
      <c r="H253" s="9" t="s">
        <v>956</v>
      </c>
      <c r="I253" s="8" t="s">
        <v>49</v>
      </c>
      <c r="J253" s="8" t="s">
        <v>73</v>
      </c>
    </row>
    <row r="254" spans="1:10" ht="39" customHeight="1">
      <c r="A254" s="8">
        <v>254</v>
      </c>
      <c r="B254" s="9" t="s">
        <v>920</v>
      </c>
      <c r="C254" s="8" t="s">
        <v>957</v>
      </c>
      <c r="D254" s="9" t="s">
        <v>958</v>
      </c>
      <c r="E254" s="9" t="s">
        <v>959</v>
      </c>
      <c r="F254" s="9" t="s">
        <v>123</v>
      </c>
      <c r="G254" s="9" t="s">
        <v>960</v>
      </c>
      <c r="H254" s="9" t="s">
        <v>960</v>
      </c>
      <c r="I254" s="8" t="s">
        <v>49</v>
      </c>
      <c r="J254" s="8" t="s">
        <v>73</v>
      </c>
    </row>
    <row r="255" spans="1:10" ht="26.25" customHeight="1">
      <c r="A255" s="8">
        <v>255</v>
      </c>
      <c r="B255" s="9" t="s">
        <v>920</v>
      </c>
      <c r="C255" s="8" t="s">
        <v>961</v>
      </c>
      <c r="D255" s="9" t="s">
        <v>962</v>
      </c>
      <c r="E255" s="9" t="s">
        <v>963</v>
      </c>
      <c r="F255" s="9" t="s">
        <v>123</v>
      </c>
      <c r="G255" s="9" t="s">
        <v>964</v>
      </c>
      <c r="H255" s="9" t="s">
        <v>964</v>
      </c>
      <c r="I255" s="8" t="s">
        <v>49</v>
      </c>
      <c r="J255" s="8" t="s">
        <v>73</v>
      </c>
    </row>
    <row r="256" spans="1:10" ht="39" customHeight="1">
      <c r="A256" s="8">
        <v>256</v>
      </c>
      <c r="B256" s="9" t="s">
        <v>920</v>
      </c>
      <c r="C256" s="8" t="s">
        <v>965</v>
      </c>
      <c r="D256" s="9" t="s">
        <v>966</v>
      </c>
      <c r="E256" s="9" t="s">
        <v>967</v>
      </c>
      <c r="F256" s="9" t="s">
        <v>93</v>
      </c>
      <c r="G256" s="9" t="s">
        <v>968</v>
      </c>
      <c r="H256" s="9" t="s">
        <v>968</v>
      </c>
      <c r="I256" s="8" t="s">
        <v>49</v>
      </c>
      <c r="J256" s="8" t="s">
        <v>56</v>
      </c>
    </row>
    <row r="257" spans="1:10" ht="39" customHeight="1">
      <c r="A257" s="8">
        <v>257</v>
      </c>
      <c r="B257" s="9" t="s">
        <v>920</v>
      </c>
      <c r="C257" s="8" t="s">
        <v>969</v>
      </c>
      <c r="D257" s="9" t="s">
        <v>970</v>
      </c>
      <c r="E257" s="9" t="s">
        <v>971</v>
      </c>
      <c r="F257" s="9" t="s">
        <v>123</v>
      </c>
      <c r="G257" s="9" t="s">
        <v>972</v>
      </c>
      <c r="H257" s="9" t="s">
        <v>972</v>
      </c>
      <c r="I257" s="8" t="s">
        <v>49</v>
      </c>
      <c r="J257" s="8" t="s">
        <v>73</v>
      </c>
    </row>
    <row r="258" spans="1:10" ht="39" customHeight="1">
      <c r="A258" s="8">
        <v>258</v>
      </c>
      <c r="B258" s="9" t="s">
        <v>920</v>
      </c>
      <c r="C258" s="8" t="s">
        <v>973</v>
      </c>
      <c r="D258" s="9" t="s">
        <v>974</v>
      </c>
      <c r="E258" s="9" t="s">
        <v>975</v>
      </c>
      <c r="F258" s="9" t="s">
        <v>54</v>
      </c>
      <c r="G258" s="9" t="s">
        <v>976</v>
      </c>
      <c r="H258" s="9" t="s">
        <v>976</v>
      </c>
      <c r="I258" s="8" t="s">
        <v>49</v>
      </c>
      <c r="J258" s="8" t="s">
        <v>73</v>
      </c>
    </row>
    <row r="259" spans="1:10" ht="26.25" customHeight="1">
      <c r="A259" s="8">
        <v>259</v>
      </c>
      <c r="B259" s="9" t="s">
        <v>920</v>
      </c>
      <c r="C259" s="8" t="s">
        <v>977</v>
      </c>
      <c r="D259" s="9" t="s">
        <v>978</v>
      </c>
      <c r="E259" s="9" t="s">
        <v>979</v>
      </c>
      <c r="F259" s="9" t="s">
        <v>54</v>
      </c>
      <c r="G259" s="9" t="s">
        <v>980</v>
      </c>
      <c r="H259" s="9" t="s">
        <v>980</v>
      </c>
      <c r="I259" s="8" t="s">
        <v>49</v>
      </c>
      <c r="J259" s="8" t="s">
        <v>73</v>
      </c>
    </row>
    <row r="260" spans="1:10" ht="39" customHeight="1">
      <c r="A260" s="8">
        <v>260</v>
      </c>
      <c r="B260" s="9" t="s">
        <v>920</v>
      </c>
      <c r="C260" s="8" t="s">
        <v>981</v>
      </c>
      <c r="D260" s="9" t="s">
        <v>982</v>
      </c>
      <c r="E260" s="9" t="s">
        <v>983</v>
      </c>
      <c r="F260" s="9" t="s">
        <v>93</v>
      </c>
      <c r="G260" s="9" t="s">
        <v>984</v>
      </c>
      <c r="H260" s="9" t="s">
        <v>984</v>
      </c>
      <c r="I260" s="8" t="s">
        <v>49</v>
      </c>
      <c r="J260" s="8" t="s">
        <v>56</v>
      </c>
    </row>
    <row r="261" spans="1:10" ht="39" customHeight="1">
      <c r="A261" s="8">
        <v>261</v>
      </c>
      <c r="B261" s="9" t="s">
        <v>920</v>
      </c>
      <c r="C261" s="8" t="s">
        <v>985</v>
      </c>
      <c r="D261" s="9" t="s">
        <v>986</v>
      </c>
      <c r="E261" s="9" t="s">
        <v>987</v>
      </c>
      <c r="F261" s="9" t="s">
        <v>54</v>
      </c>
      <c r="G261" s="9" t="s">
        <v>988</v>
      </c>
      <c r="H261" s="9" t="s">
        <v>988</v>
      </c>
      <c r="I261" s="8" t="s">
        <v>49</v>
      </c>
      <c r="J261" s="8" t="s">
        <v>56</v>
      </c>
    </row>
    <row r="262" spans="1:10" ht="39" customHeight="1">
      <c r="A262" s="8">
        <v>262</v>
      </c>
      <c r="B262" s="9" t="s">
        <v>920</v>
      </c>
      <c r="C262" s="8" t="s">
        <v>989</v>
      </c>
      <c r="D262" s="9" t="s">
        <v>990</v>
      </c>
      <c r="E262" s="9" t="s">
        <v>991</v>
      </c>
      <c r="F262" s="9" t="s">
        <v>54</v>
      </c>
      <c r="G262" s="9" t="s">
        <v>992</v>
      </c>
      <c r="H262" s="9" t="s">
        <v>992</v>
      </c>
      <c r="I262" s="8" t="s">
        <v>49</v>
      </c>
      <c r="J262" s="8" t="s">
        <v>56</v>
      </c>
    </row>
    <row r="263" spans="1:10" ht="39" customHeight="1">
      <c r="A263" s="8">
        <v>263</v>
      </c>
      <c r="B263" s="9" t="s">
        <v>920</v>
      </c>
      <c r="C263" s="8" t="s">
        <v>993</v>
      </c>
      <c r="D263" s="9" t="s">
        <v>994</v>
      </c>
      <c r="E263" s="9" t="s">
        <v>995</v>
      </c>
      <c r="F263" s="9" t="s">
        <v>123</v>
      </c>
      <c r="G263" s="9" t="s">
        <v>996</v>
      </c>
      <c r="H263" s="9" t="s">
        <v>996</v>
      </c>
      <c r="I263" s="8" t="s">
        <v>49</v>
      </c>
      <c r="J263" s="8" t="s">
        <v>56</v>
      </c>
    </row>
    <row r="264" spans="1:10" ht="39" customHeight="1">
      <c r="A264" s="8">
        <v>264</v>
      </c>
      <c r="B264" s="9" t="s">
        <v>920</v>
      </c>
      <c r="C264" s="8" t="s">
        <v>997</v>
      </c>
      <c r="D264" s="9" t="s">
        <v>998</v>
      </c>
      <c r="E264" s="9" t="s">
        <v>999</v>
      </c>
      <c r="F264" s="9" t="s">
        <v>54</v>
      </c>
      <c r="G264" s="9" t="s">
        <v>1000</v>
      </c>
      <c r="H264" s="9" t="s">
        <v>1000</v>
      </c>
      <c r="I264" s="8" t="s">
        <v>49</v>
      </c>
      <c r="J264" s="8" t="s">
        <v>56</v>
      </c>
    </row>
    <row r="265" spans="1:10" ht="39" customHeight="1">
      <c r="A265" s="8">
        <v>265</v>
      </c>
      <c r="B265" s="9" t="s">
        <v>1001</v>
      </c>
      <c r="C265" s="8" t="s">
        <v>1002</v>
      </c>
      <c r="D265" s="9" t="s">
        <v>1003</v>
      </c>
      <c r="E265" s="9" t="s">
        <v>1004</v>
      </c>
      <c r="F265" s="9" t="s">
        <v>54</v>
      </c>
      <c r="G265" s="9" t="s">
        <v>1005</v>
      </c>
      <c r="H265" s="9" t="s">
        <v>1005</v>
      </c>
      <c r="I265" s="8" t="s">
        <v>49</v>
      </c>
      <c r="J265" s="8" t="s">
        <v>73</v>
      </c>
    </row>
    <row r="266" spans="1:10" ht="39" customHeight="1">
      <c r="A266" s="8">
        <v>266</v>
      </c>
      <c r="B266" s="9" t="s">
        <v>1001</v>
      </c>
      <c r="C266" s="8" t="s">
        <v>1006</v>
      </c>
      <c r="D266" s="9" t="s">
        <v>1007</v>
      </c>
      <c r="E266" s="9" t="s">
        <v>1008</v>
      </c>
      <c r="F266" s="9" t="s">
        <v>54</v>
      </c>
      <c r="G266" s="9" t="s">
        <v>1009</v>
      </c>
      <c r="H266" s="9" t="s">
        <v>1009</v>
      </c>
      <c r="I266" s="8" t="s">
        <v>49</v>
      </c>
      <c r="J266" s="8" t="s">
        <v>73</v>
      </c>
    </row>
    <row r="267" spans="1:10" ht="39" customHeight="1">
      <c r="A267" s="8">
        <v>267</v>
      </c>
      <c r="B267" s="9" t="s">
        <v>1001</v>
      </c>
      <c r="C267" s="8" t="s">
        <v>1010</v>
      </c>
      <c r="D267" s="9" t="s">
        <v>1011</v>
      </c>
      <c r="E267" s="9" t="s">
        <v>1012</v>
      </c>
      <c r="F267" s="9" t="s">
        <v>54</v>
      </c>
      <c r="G267" s="9" t="s">
        <v>1013</v>
      </c>
      <c r="H267" s="9" t="s">
        <v>1013</v>
      </c>
      <c r="I267" s="8" t="s">
        <v>49</v>
      </c>
      <c r="J267" s="8" t="s">
        <v>56</v>
      </c>
    </row>
    <row r="268" spans="1:10" ht="39" customHeight="1">
      <c r="A268" s="8">
        <v>268</v>
      </c>
      <c r="B268" s="9" t="s">
        <v>1001</v>
      </c>
      <c r="C268" s="8" t="s">
        <v>1014</v>
      </c>
      <c r="D268" s="9" t="s">
        <v>1015</v>
      </c>
      <c r="E268" s="9" t="s">
        <v>1016</v>
      </c>
      <c r="F268" s="9" t="s">
        <v>54</v>
      </c>
      <c r="G268" s="9" t="s">
        <v>1017</v>
      </c>
      <c r="H268" s="9" t="s">
        <v>1017</v>
      </c>
      <c r="I268" s="8" t="s">
        <v>49</v>
      </c>
      <c r="J268" s="8" t="s">
        <v>56</v>
      </c>
    </row>
    <row r="269" spans="1:10" ht="39" customHeight="1">
      <c r="A269" s="8">
        <v>269</v>
      </c>
      <c r="B269" s="9" t="s">
        <v>1001</v>
      </c>
      <c r="C269" s="8" t="s">
        <v>1018</v>
      </c>
      <c r="D269" s="9" t="s">
        <v>1019</v>
      </c>
      <c r="E269" s="9" t="s">
        <v>1020</v>
      </c>
      <c r="F269" s="9" t="s">
        <v>54</v>
      </c>
      <c r="G269" s="9" t="s">
        <v>1021</v>
      </c>
      <c r="H269" s="9" t="s">
        <v>1021</v>
      </c>
      <c r="I269" s="8" t="s">
        <v>49</v>
      </c>
      <c r="J269" s="8" t="s">
        <v>56</v>
      </c>
    </row>
    <row r="270" spans="1:10" ht="39" customHeight="1">
      <c r="A270" s="8">
        <v>270</v>
      </c>
      <c r="B270" s="9" t="s">
        <v>1001</v>
      </c>
      <c r="C270" s="8" t="s">
        <v>1022</v>
      </c>
      <c r="D270" s="9" t="s">
        <v>1023</v>
      </c>
      <c r="E270" s="9" t="s">
        <v>1024</v>
      </c>
      <c r="F270" s="9" t="s">
        <v>54</v>
      </c>
      <c r="G270" s="9" t="s">
        <v>1025</v>
      </c>
      <c r="H270" s="9" t="s">
        <v>1025</v>
      </c>
      <c r="I270" s="8" t="s">
        <v>49</v>
      </c>
      <c r="J270" s="8" t="s">
        <v>73</v>
      </c>
    </row>
    <row r="271" spans="1:10" ht="39" customHeight="1">
      <c r="A271" s="8">
        <v>271</v>
      </c>
      <c r="B271" s="9" t="s">
        <v>1001</v>
      </c>
      <c r="C271" s="8" t="s">
        <v>1026</v>
      </c>
      <c r="D271" s="9" t="s">
        <v>1027</v>
      </c>
      <c r="E271" s="9" t="s">
        <v>1028</v>
      </c>
      <c r="F271" s="9" t="s">
        <v>54</v>
      </c>
      <c r="G271" s="9" t="s">
        <v>1029</v>
      </c>
      <c r="H271" s="9" t="s">
        <v>1029</v>
      </c>
      <c r="I271" s="8" t="s">
        <v>49</v>
      </c>
      <c r="J271" s="8" t="s">
        <v>56</v>
      </c>
    </row>
    <row r="272" spans="1:10" ht="39" customHeight="1">
      <c r="A272" s="8">
        <v>272</v>
      </c>
      <c r="B272" s="9" t="s">
        <v>1001</v>
      </c>
      <c r="C272" s="8" t="s">
        <v>1030</v>
      </c>
      <c r="D272" s="9" t="s">
        <v>1031</v>
      </c>
      <c r="E272" s="9" t="s">
        <v>1032</v>
      </c>
      <c r="F272" s="9" t="s">
        <v>54</v>
      </c>
      <c r="G272" s="9" t="s">
        <v>1033</v>
      </c>
      <c r="H272" s="9" t="s">
        <v>1033</v>
      </c>
      <c r="I272" s="8" t="s">
        <v>49</v>
      </c>
      <c r="J272" s="8" t="s">
        <v>56</v>
      </c>
    </row>
    <row r="273" spans="1:10" ht="39" customHeight="1">
      <c r="A273" s="8">
        <v>273</v>
      </c>
      <c r="B273" s="9" t="s">
        <v>1001</v>
      </c>
      <c r="C273" s="8" t="s">
        <v>1034</v>
      </c>
      <c r="D273" s="9" t="s">
        <v>1035</v>
      </c>
      <c r="E273" s="9" t="s">
        <v>1036</v>
      </c>
      <c r="F273" s="9" t="s">
        <v>54</v>
      </c>
      <c r="G273" s="9" t="s">
        <v>1037</v>
      </c>
      <c r="H273" s="9" t="s">
        <v>1037</v>
      </c>
      <c r="I273" s="8" t="s">
        <v>49</v>
      </c>
      <c r="J273" s="8" t="s">
        <v>73</v>
      </c>
    </row>
    <row r="274" spans="1:10" ht="26.25" customHeight="1">
      <c r="A274" s="8">
        <v>274</v>
      </c>
      <c r="B274" s="9" t="s">
        <v>1001</v>
      </c>
      <c r="C274" s="8" t="s">
        <v>1038</v>
      </c>
      <c r="D274" s="9" t="s">
        <v>1039</v>
      </c>
      <c r="E274" s="9" t="s">
        <v>1040</v>
      </c>
      <c r="F274" s="9" t="s">
        <v>54</v>
      </c>
      <c r="G274" s="9" t="s">
        <v>1041</v>
      </c>
      <c r="H274" s="9" t="s">
        <v>1041</v>
      </c>
      <c r="I274" s="8" t="s">
        <v>49</v>
      </c>
      <c r="J274" s="8" t="s">
        <v>73</v>
      </c>
    </row>
    <row r="275" spans="1:10" ht="39" customHeight="1">
      <c r="A275" s="8">
        <v>275</v>
      </c>
      <c r="B275" s="9" t="s">
        <v>1001</v>
      </c>
      <c r="C275" s="8" t="s">
        <v>1042</v>
      </c>
      <c r="D275" s="9" t="s">
        <v>1043</v>
      </c>
      <c r="E275" s="9" t="s">
        <v>1044</v>
      </c>
      <c r="F275" s="9" t="s">
        <v>93</v>
      </c>
      <c r="G275" s="9" t="s">
        <v>1045</v>
      </c>
      <c r="H275" s="9" t="s">
        <v>1045</v>
      </c>
      <c r="I275" s="8" t="s">
        <v>49</v>
      </c>
      <c r="J275" s="8" t="s">
        <v>73</v>
      </c>
    </row>
    <row r="276" spans="1:10" ht="39" customHeight="1">
      <c r="A276" s="8">
        <v>276</v>
      </c>
      <c r="B276" s="9" t="s">
        <v>1001</v>
      </c>
      <c r="C276" s="8" t="s">
        <v>1046</v>
      </c>
      <c r="D276" s="9" t="s">
        <v>1047</v>
      </c>
      <c r="E276" s="9" t="s">
        <v>1048</v>
      </c>
      <c r="F276" s="9" t="s">
        <v>54</v>
      </c>
      <c r="G276" s="9" t="s">
        <v>1049</v>
      </c>
      <c r="H276" s="9" t="s">
        <v>1049</v>
      </c>
      <c r="I276" s="8" t="s">
        <v>49</v>
      </c>
      <c r="J276" s="8" t="s">
        <v>56</v>
      </c>
    </row>
    <row r="277" spans="1:10" ht="26.25" customHeight="1">
      <c r="A277" s="8">
        <v>277</v>
      </c>
      <c r="B277" s="9" t="s">
        <v>1001</v>
      </c>
      <c r="C277" s="8" t="s">
        <v>1050</v>
      </c>
      <c r="D277" s="9" t="s">
        <v>1051</v>
      </c>
      <c r="E277" s="9" t="s">
        <v>1052</v>
      </c>
      <c r="F277" s="9" t="s">
        <v>54</v>
      </c>
      <c r="G277" s="9" t="s">
        <v>1053</v>
      </c>
      <c r="H277" s="9" t="s">
        <v>1053</v>
      </c>
      <c r="I277" s="8" t="s">
        <v>49</v>
      </c>
      <c r="J277" s="8" t="s">
        <v>56</v>
      </c>
    </row>
    <row r="278" spans="1:10" ht="39" customHeight="1">
      <c r="A278" s="8">
        <v>278</v>
      </c>
      <c r="B278" s="9" t="s">
        <v>1001</v>
      </c>
      <c r="C278" s="8" t="s">
        <v>1054</v>
      </c>
      <c r="D278" s="9" t="s">
        <v>1055</v>
      </c>
      <c r="E278" s="9" t="s">
        <v>1056</v>
      </c>
      <c r="F278" s="9" t="s">
        <v>362</v>
      </c>
      <c r="G278" s="9" t="s">
        <v>1057</v>
      </c>
      <c r="H278" s="9" t="s">
        <v>1057</v>
      </c>
      <c r="I278" s="8" t="s">
        <v>49</v>
      </c>
      <c r="J278" s="8" t="s">
        <v>73</v>
      </c>
    </row>
    <row r="279" spans="1:10" ht="39" customHeight="1">
      <c r="A279" s="8">
        <v>279</v>
      </c>
      <c r="B279" s="9" t="s">
        <v>1001</v>
      </c>
      <c r="C279" s="8" t="s">
        <v>1058</v>
      </c>
      <c r="D279" s="9" t="s">
        <v>1059</v>
      </c>
      <c r="E279" s="9" t="s">
        <v>1060</v>
      </c>
      <c r="F279" s="9" t="s">
        <v>54</v>
      </c>
      <c r="G279" s="9" t="s">
        <v>1061</v>
      </c>
      <c r="H279" s="9" t="s">
        <v>1061</v>
      </c>
      <c r="I279" s="8" t="s">
        <v>49</v>
      </c>
      <c r="J279" s="8" t="s">
        <v>56</v>
      </c>
    </row>
    <row r="280" spans="1:10" ht="39" customHeight="1">
      <c r="A280" s="8">
        <v>280</v>
      </c>
      <c r="B280" s="9" t="s">
        <v>1062</v>
      </c>
      <c r="C280" s="8" t="s">
        <v>1063</v>
      </c>
      <c r="D280" s="9" t="s">
        <v>1064</v>
      </c>
      <c r="E280" s="9" t="s">
        <v>1065</v>
      </c>
      <c r="F280" s="9" t="s">
        <v>54</v>
      </c>
      <c r="G280" s="9" t="s">
        <v>1066</v>
      </c>
      <c r="H280" s="9" t="s">
        <v>1066</v>
      </c>
      <c r="I280" s="8" t="s">
        <v>49</v>
      </c>
      <c r="J280" s="8" t="s">
        <v>56</v>
      </c>
    </row>
    <row r="281" spans="1:10" ht="39" customHeight="1">
      <c r="A281" s="8">
        <v>281</v>
      </c>
      <c r="B281" s="9" t="s">
        <v>1062</v>
      </c>
      <c r="C281" s="8" t="s">
        <v>1067</v>
      </c>
      <c r="D281" s="9" t="s">
        <v>1068</v>
      </c>
      <c r="E281" s="9" t="s">
        <v>1069</v>
      </c>
      <c r="F281" s="9" t="s">
        <v>54</v>
      </c>
      <c r="G281" s="9" t="s">
        <v>1070</v>
      </c>
      <c r="H281" s="9" t="s">
        <v>1070</v>
      </c>
      <c r="I281" s="8" t="s">
        <v>49</v>
      </c>
      <c r="J281" s="8" t="s">
        <v>73</v>
      </c>
    </row>
    <row r="282" spans="1:10" ht="39" customHeight="1">
      <c r="A282" s="8">
        <v>282</v>
      </c>
      <c r="B282" s="9" t="s">
        <v>1062</v>
      </c>
      <c r="C282" s="8" t="s">
        <v>1071</v>
      </c>
      <c r="D282" s="9" t="s">
        <v>1072</v>
      </c>
      <c r="E282" s="9" t="s">
        <v>1073</v>
      </c>
      <c r="F282" s="9" t="s">
        <v>54</v>
      </c>
      <c r="G282" s="9" t="s">
        <v>1074</v>
      </c>
      <c r="H282" s="9" t="s">
        <v>1074</v>
      </c>
      <c r="I282" s="8" t="s">
        <v>49</v>
      </c>
      <c r="J282" s="8" t="s">
        <v>56</v>
      </c>
    </row>
    <row r="283" spans="1:10" ht="39" customHeight="1">
      <c r="A283" s="8">
        <v>283</v>
      </c>
      <c r="B283" s="9" t="s">
        <v>1062</v>
      </c>
      <c r="C283" s="8" t="s">
        <v>1075</v>
      </c>
      <c r="D283" s="9" t="s">
        <v>1076</v>
      </c>
      <c r="E283" s="9" t="s">
        <v>1077</v>
      </c>
      <c r="F283" s="9" t="s">
        <v>54</v>
      </c>
      <c r="G283" s="9" t="s">
        <v>1078</v>
      </c>
      <c r="H283" s="9" t="s">
        <v>1078</v>
      </c>
      <c r="I283" s="8" t="s">
        <v>49</v>
      </c>
      <c r="J283" s="8" t="s">
        <v>56</v>
      </c>
    </row>
    <row r="284" spans="1:10" ht="39" customHeight="1">
      <c r="A284" s="8">
        <v>284</v>
      </c>
      <c r="B284" s="9" t="s">
        <v>1062</v>
      </c>
      <c r="C284" s="8" t="s">
        <v>1079</v>
      </c>
      <c r="D284" s="9" t="s">
        <v>1080</v>
      </c>
      <c r="E284" s="9" t="s">
        <v>1081</v>
      </c>
      <c r="F284" s="9" t="s">
        <v>54</v>
      </c>
      <c r="G284" s="9" t="s">
        <v>1082</v>
      </c>
      <c r="H284" s="9" t="s">
        <v>1082</v>
      </c>
      <c r="I284" s="8" t="s">
        <v>49</v>
      </c>
      <c r="J284" s="8" t="s">
        <v>56</v>
      </c>
    </row>
    <row r="285" spans="1:10" ht="39" customHeight="1">
      <c r="A285" s="8">
        <v>285</v>
      </c>
      <c r="B285" s="9" t="s">
        <v>1062</v>
      </c>
      <c r="C285" s="8" t="s">
        <v>1083</v>
      </c>
      <c r="D285" s="9" t="s">
        <v>1084</v>
      </c>
      <c r="E285" s="9" t="s">
        <v>1085</v>
      </c>
      <c r="F285" s="9" t="s">
        <v>54</v>
      </c>
      <c r="G285" s="9" t="s">
        <v>1086</v>
      </c>
      <c r="H285" s="9" t="s">
        <v>1086</v>
      </c>
      <c r="I285" s="8" t="s">
        <v>49</v>
      </c>
      <c r="J285" s="8" t="s">
        <v>73</v>
      </c>
    </row>
    <row r="286" spans="1:10" ht="39" customHeight="1">
      <c r="A286" s="8">
        <v>286</v>
      </c>
      <c r="B286" s="9" t="s">
        <v>1062</v>
      </c>
      <c r="C286" s="8" t="s">
        <v>1087</v>
      </c>
      <c r="D286" s="9" t="s">
        <v>1088</v>
      </c>
      <c r="E286" s="9" t="s">
        <v>1089</v>
      </c>
      <c r="F286" s="9" t="s">
        <v>54</v>
      </c>
      <c r="G286" s="9" t="s">
        <v>1090</v>
      </c>
      <c r="H286" s="9" t="s">
        <v>1090</v>
      </c>
      <c r="I286" s="8" t="s">
        <v>49</v>
      </c>
      <c r="J286" s="8" t="s">
        <v>56</v>
      </c>
    </row>
    <row r="287" spans="1:10" ht="39" customHeight="1">
      <c r="A287" s="8">
        <v>287</v>
      </c>
      <c r="B287" s="9" t="s">
        <v>1062</v>
      </c>
      <c r="C287" s="8" t="s">
        <v>1091</v>
      </c>
      <c r="D287" s="9" t="s">
        <v>1092</v>
      </c>
      <c r="E287" s="9" t="s">
        <v>1093</v>
      </c>
      <c r="F287" s="9" t="s">
        <v>54</v>
      </c>
      <c r="G287" s="9" t="s">
        <v>1094</v>
      </c>
      <c r="H287" s="9" t="s">
        <v>1094</v>
      </c>
      <c r="I287" s="8" t="s">
        <v>49</v>
      </c>
      <c r="J287" s="8" t="s">
        <v>73</v>
      </c>
    </row>
    <row r="288" spans="1:10" ht="39" customHeight="1">
      <c r="A288" s="8">
        <v>288</v>
      </c>
      <c r="B288" s="9" t="s">
        <v>1062</v>
      </c>
      <c r="C288" s="8" t="s">
        <v>1095</v>
      </c>
      <c r="D288" s="9" t="s">
        <v>1096</v>
      </c>
      <c r="E288" s="9" t="s">
        <v>1097</v>
      </c>
      <c r="F288" s="9" t="s">
        <v>54</v>
      </c>
      <c r="G288" s="9" t="s">
        <v>1098</v>
      </c>
      <c r="H288" s="9" t="s">
        <v>1098</v>
      </c>
      <c r="I288" s="8" t="s">
        <v>49</v>
      </c>
      <c r="J288" s="8" t="s">
        <v>56</v>
      </c>
    </row>
    <row r="289" spans="1:10" ht="39" customHeight="1">
      <c r="A289" s="8">
        <v>289</v>
      </c>
      <c r="B289" s="9" t="s">
        <v>1062</v>
      </c>
      <c r="C289" s="8" t="s">
        <v>1099</v>
      </c>
      <c r="D289" s="9" t="s">
        <v>1100</v>
      </c>
      <c r="E289" s="9" t="s">
        <v>1101</v>
      </c>
      <c r="F289" s="9" t="s">
        <v>54</v>
      </c>
      <c r="G289" s="9" t="s">
        <v>1102</v>
      </c>
      <c r="H289" s="9" t="s">
        <v>1102</v>
      </c>
      <c r="I289" s="8" t="s">
        <v>49</v>
      </c>
      <c r="J289" s="8" t="s">
        <v>56</v>
      </c>
    </row>
    <row r="290" spans="1:10" ht="26.25" customHeight="1">
      <c r="A290" s="8">
        <v>290</v>
      </c>
      <c r="B290" s="9" t="s">
        <v>1103</v>
      </c>
      <c r="C290" s="8" t="s">
        <v>1104</v>
      </c>
      <c r="D290" s="9" t="s">
        <v>1105</v>
      </c>
      <c r="E290" s="9" t="s">
        <v>1106</v>
      </c>
      <c r="F290" s="9" t="s">
        <v>123</v>
      </c>
      <c r="G290" s="9" t="s">
        <v>1107</v>
      </c>
      <c r="H290" s="9" t="s">
        <v>1107</v>
      </c>
      <c r="I290" s="8" t="s">
        <v>49</v>
      </c>
      <c r="J290" s="8" t="s">
        <v>73</v>
      </c>
    </row>
    <row r="291" spans="1:10" ht="26.25" customHeight="1">
      <c r="A291" s="8">
        <v>291</v>
      </c>
      <c r="B291" s="9" t="s">
        <v>1103</v>
      </c>
      <c r="C291" s="8" t="s">
        <v>1108</v>
      </c>
      <c r="D291" s="9" t="s">
        <v>1109</v>
      </c>
      <c r="E291" s="9" t="s">
        <v>1110</v>
      </c>
      <c r="F291" s="9" t="s">
        <v>362</v>
      </c>
      <c r="G291" s="9" t="s">
        <v>1111</v>
      </c>
      <c r="H291" s="9" t="s">
        <v>1111</v>
      </c>
      <c r="I291" s="8" t="s">
        <v>49</v>
      </c>
      <c r="J291" s="8" t="s">
        <v>73</v>
      </c>
    </row>
    <row r="292" spans="1:10" ht="39" customHeight="1">
      <c r="A292" s="8">
        <v>292</v>
      </c>
      <c r="B292" s="9" t="s">
        <v>1103</v>
      </c>
      <c r="C292" s="8" t="s">
        <v>1112</v>
      </c>
      <c r="D292" s="9" t="s">
        <v>1113</v>
      </c>
      <c r="E292" s="9" t="s">
        <v>1114</v>
      </c>
      <c r="F292" s="9" t="s">
        <v>93</v>
      </c>
      <c r="G292" s="9" t="s">
        <v>1115</v>
      </c>
      <c r="H292" s="9" t="s">
        <v>1115</v>
      </c>
      <c r="I292" s="8" t="s">
        <v>49</v>
      </c>
      <c r="J292" s="8" t="s">
        <v>73</v>
      </c>
    </row>
    <row r="293" spans="1:10" ht="39" customHeight="1">
      <c r="A293" s="8">
        <v>293</v>
      </c>
      <c r="B293" s="9" t="s">
        <v>1103</v>
      </c>
      <c r="C293" s="8" t="s">
        <v>1116</v>
      </c>
      <c r="D293" s="9" t="s">
        <v>1117</v>
      </c>
      <c r="E293" s="9" t="s">
        <v>1118</v>
      </c>
      <c r="F293" s="9" t="s">
        <v>54</v>
      </c>
      <c r="G293" s="9" t="s">
        <v>1119</v>
      </c>
      <c r="H293" s="9" t="s">
        <v>1119</v>
      </c>
      <c r="I293" s="8" t="s">
        <v>49</v>
      </c>
      <c r="J293" s="8" t="s">
        <v>56</v>
      </c>
    </row>
    <row r="294" spans="1:10" ht="39" customHeight="1">
      <c r="A294" s="8">
        <v>294</v>
      </c>
      <c r="B294" s="9" t="s">
        <v>1103</v>
      </c>
      <c r="C294" s="8" t="s">
        <v>1120</v>
      </c>
      <c r="D294" s="9" t="s">
        <v>1121</v>
      </c>
      <c r="E294" s="9" t="s">
        <v>1122</v>
      </c>
      <c r="F294" s="9" t="s">
        <v>54</v>
      </c>
      <c r="G294" s="9" t="s">
        <v>1123</v>
      </c>
      <c r="H294" s="9" t="s">
        <v>1123</v>
      </c>
      <c r="I294" s="8" t="s">
        <v>49</v>
      </c>
      <c r="J294" s="8" t="s">
        <v>56</v>
      </c>
    </row>
    <row r="295" spans="1:10" ht="39" customHeight="1">
      <c r="A295" s="8">
        <v>295</v>
      </c>
      <c r="B295" s="9" t="s">
        <v>1103</v>
      </c>
      <c r="C295" s="8" t="s">
        <v>1124</v>
      </c>
      <c r="D295" s="9" t="s">
        <v>1125</v>
      </c>
      <c r="E295" s="9" t="s">
        <v>1126</v>
      </c>
      <c r="F295" s="9" t="s">
        <v>54</v>
      </c>
      <c r="G295" s="9" t="s">
        <v>1127</v>
      </c>
      <c r="H295" s="9" t="s">
        <v>1127</v>
      </c>
      <c r="I295" s="8" t="s">
        <v>49</v>
      </c>
      <c r="J295" s="8" t="s">
        <v>56</v>
      </c>
    </row>
    <row r="296" spans="1:10" ht="26.25" customHeight="1">
      <c r="A296" s="8">
        <v>296</v>
      </c>
      <c r="B296" s="9" t="s">
        <v>1103</v>
      </c>
      <c r="C296" s="8" t="s">
        <v>1128</v>
      </c>
      <c r="D296" s="9" t="s">
        <v>1129</v>
      </c>
      <c r="E296" s="9" t="s">
        <v>1130</v>
      </c>
      <c r="F296" s="9" t="s">
        <v>54</v>
      </c>
      <c r="G296" s="9" t="s">
        <v>1131</v>
      </c>
      <c r="H296" s="9" t="s">
        <v>1131</v>
      </c>
      <c r="I296" s="8" t="s">
        <v>49</v>
      </c>
      <c r="J296" s="8" t="s">
        <v>56</v>
      </c>
    </row>
    <row r="297" spans="1:10" ht="39" customHeight="1">
      <c r="A297" s="8">
        <v>297</v>
      </c>
      <c r="B297" s="9" t="s">
        <v>1103</v>
      </c>
      <c r="C297" s="8" t="s">
        <v>1132</v>
      </c>
      <c r="D297" s="9" t="s">
        <v>1133</v>
      </c>
      <c r="E297" s="9" t="s">
        <v>1134</v>
      </c>
      <c r="F297" s="9" t="s">
        <v>93</v>
      </c>
      <c r="G297" s="9" t="s">
        <v>1135</v>
      </c>
      <c r="H297" s="9" t="s">
        <v>1135</v>
      </c>
      <c r="I297" s="8" t="s">
        <v>49</v>
      </c>
      <c r="J297" s="8" t="s">
        <v>56</v>
      </c>
    </row>
    <row r="298" spans="1:10" ht="39" customHeight="1">
      <c r="A298" s="8">
        <v>298</v>
      </c>
      <c r="B298" s="9" t="s">
        <v>1103</v>
      </c>
      <c r="C298" s="8" t="s">
        <v>1136</v>
      </c>
      <c r="D298" s="9" t="s">
        <v>1137</v>
      </c>
      <c r="E298" s="9" t="s">
        <v>1138</v>
      </c>
      <c r="F298" s="9" t="s">
        <v>54</v>
      </c>
      <c r="G298" s="9" t="s">
        <v>1139</v>
      </c>
      <c r="H298" s="9" t="s">
        <v>1139</v>
      </c>
      <c r="I298" s="8" t="s">
        <v>49</v>
      </c>
      <c r="J298" s="8" t="s">
        <v>56</v>
      </c>
    </row>
    <row r="299" spans="1:10" ht="39" customHeight="1">
      <c r="A299" s="8">
        <v>299</v>
      </c>
      <c r="B299" s="9" t="s">
        <v>1103</v>
      </c>
      <c r="C299" s="8" t="s">
        <v>1140</v>
      </c>
      <c r="D299" s="9" t="s">
        <v>1141</v>
      </c>
      <c r="E299" s="9" t="s">
        <v>1142</v>
      </c>
      <c r="F299" s="9" t="s">
        <v>54</v>
      </c>
      <c r="G299" s="9" t="s">
        <v>1143</v>
      </c>
      <c r="H299" s="9" t="s">
        <v>1143</v>
      </c>
      <c r="I299" s="8" t="s">
        <v>49</v>
      </c>
      <c r="J299" s="8" t="s">
        <v>56</v>
      </c>
    </row>
    <row r="300" spans="1:10" ht="39" customHeight="1">
      <c r="A300" s="8">
        <v>300</v>
      </c>
      <c r="B300" s="9" t="s">
        <v>1144</v>
      </c>
      <c r="C300" s="8" t="s">
        <v>1145</v>
      </c>
      <c r="D300" s="9" t="s">
        <v>1146</v>
      </c>
      <c r="E300" s="9" t="s">
        <v>1147</v>
      </c>
      <c r="F300" s="9" t="s">
        <v>54</v>
      </c>
      <c r="G300" s="9" t="s">
        <v>1148</v>
      </c>
      <c r="H300" s="9" t="s">
        <v>1148</v>
      </c>
      <c r="I300" s="8" t="s">
        <v>49</v>
      </c>
      <c r="J300" s="8" t="s">
        <v>56</v>
      </c>
    </row>
    <row r="301" spans="1:10" ht="39" customHeight="1">
      <c r="A301" s="8">
        <v>301</v>
      </c>
      <c r="B301" s="9" t="s">
        <v>1144</v>
      </c>
      <c r="C301" s="8" t="s">
        <v>1149</v>
      </c>
      <c r="D301" s="9" t="s">
        <v>1150</v>
      </c>
      <c r="E301" s="9" t="s">
        <v>1151</v>
      </c>
      <c r="F301" s="9" t="s">
        <v>54</v>
      </c>
      <c r="G301" s="9" t="s">
        <v>1152</v>
      </c>
      <c r="H301" s="9" t="s">
        <v>1152</v>
      </c>
      <c r="I301" s="8" t="s">
        <v>49</v>
      </c>
      <c r="J301" s="8" t="s">
        <v>73</v>
      </c>
    </row>
    <row r="302" spans="1:10" ht="39" customHeight="1">
      <c r="A302" s="8">
        <v>302</v>
      </c>
      <c r="B302" s="9" t="s">
        <v>1144</v>
      </c>
      <c r="C302" s="8" t="s">
        <v>1153</v>
      </c>
      <c r="D302" s="9" t="s">
        <v>1154</v>
      </c>
      <c r="E302" s="9" t="s">
        <v>1155</v>
      </c>
      <c r="F302" s="9" t="s">
        <v>54</v>
      </c>
      <c r="G302" s="9" t="s">
        <v>1156</v>
      </c>
      <c r="H302" s="9" t="s">
        <v>1156</v>
      </c>
      <c r="I302" s="8" t="s">
        <v>49</v>
      </c>
      <c r="J302" s="8" t="s">
        <v>56</v>
      </c>
    </row>
    <row r="303" spans="1:10" ht="39" customHeight="1">
      <c r="A303" s="8">
        <v>303</v>
      </c>
      <c r="B303" s="9" t="s">
        <v>1144</v>
      </c>
      <c r="C303" s="8" t="s">
        <v>1157</v>
      </c>
      <c r="D303" s="9" t="s">
        <v>1158</v>
      </c>
      <c r="E303" s="9" t="s">
        <v>1159</v>
      </c>
      <c r="F303" s="9" t="s">
        <v>54</v>
      </c>
      <c r="G303" s="9" t="s">
        <v>1160</v>
      </c>
      <c r="H303" s="9" t="s">
        <v>1160</v>
      </c>
      <c r="I303" s="8" t="s">
        <v>49</v>
      </c>
      <c r="J303" s="8" t="s">
        <v>56</v>
      </c>
    </row>
    <row r="304" spans="1:10" ht="39" customHeight="1">
      <c r="A304" s="8">
        <v>304</v>
      </c>
      <c r="B304" s="9" t="s">
        <v>1144</v>
      </c>
      <c r="C304" s="8" t="s">
        <v>1161</v>
      </c>
      <c r="D304" s="9" t="s">
        <v>1162</v>
      </c>
      <c r="E304" s="9" t="s">
        <v>1163</v>
      </c>
      <c r="F304" s="9" t="s">
        <v>54</v>
      </c>
      <c r="G304" s="9" t="s">
        <v>1164</v>
      </c>
      <c r="H304" s="9" t="s">
        <v>1164</v>
      </c>
      <c r="I304" s="8" t="s">
        <v>49</v>
      </c>
      <c r="J304" s="8" t="s">
        <v>56</v>
      </c>
    </row>
    <row r="305" spans="1:10" ht="39" customHeight="1">
      <c r="A305" s="8">
        <v>305</v>
      </c>
      <c r="B305" s="9" t="s">
        <v>1144</v>
      </c>
      <c r="C305" s="8" t="s">
        <v>1165</v>
      </c>
      <c r="D305" s="9" t="s">
        <v>1166</v>
      </c>
      <c r="E305" s="9" t="s">
        <v>1167</v>
      </c>
      <c r="F305" s="9" t="s">
        <v>54</v>
      </c>
      <c r="G305" s="9" t="s">
        <v>1168</v>
      </c>
      <c r="H305" s="9" t="s">
        <v>1168</v>
      </c>
      <c r="I305" s="8" t="s">
        <v>49</v>
      </c>
      <c r="J305" s="8" t="s">
        <v>73</v>
      </c>
    </row>
    <row r="306" spans="1:10" ht="39" customHeight="1">
      <c r="A306" s="8">
        <v>306</v>
      </c>
      <c r="B306" s="9" t="s">
        <v>1144</v>
      </c>
      <c r="C306" s="8" t="s">
        <v>1169</v>
      </c>
      <c r="D306" s="9" t="s">
        <v>1170</v>
      </c>
      <c r="E306" s="9" t="s">
        <v>1171</v>
      </c>
      <c r="F306" s="9" t="s">
        <v>123</v>
      </c>
      <c r="G306" s="9" t="s">
        <v>1172</v>
      </c>
      <c r="H306" s="9" t="s">
        <v>1172</v>
      </c>
      <c r="I306" s="8" t="s">
        <v>49</v>
      </c>
      <c r="J306" s="8" t="s">
        <v>73</v>
      </c>
    </row>
    <row r="307" spans="1:10" ht="39" customHeight="1">
      <c r="A307" s="8">
        <v>307</v>
      </c>
      <c r="B307" s="9" t="s">
        <v>1144</v>
      </c>
      <c r="C307" s="8" t="s">
        <v>1173</v>
      </c>
      <c r="D307" s="9" t="s">
        <v>1174</v>
      </c>
      <c r="E307" s="9" t="s">
        <v>1175</v>
      </c>
      <c r="F307" s="9" t="s">
        <v>54</v>
      </c>
      <c r="G307" s="9" t="s">
        <v>1176</v>
      </c>
      <c r="H307" s="9" t="s">
        <v>1176</v>
      </c>
      <c r="I307" s="8" t="s">
        <v>49</v>
      </c>
      <c r="J307" s="8" t="s">
        <v>73</v>
      </c>
    </row>
    <row r="308" spans="1:10" ht="39" customHeight="1">
      <c r="A308" s="8">
        <v>308</v>
      </c>
      <c r="B308" s="9" t="s">
        <v>1144</v>
      </c>
      <c r="C308" s="8" t="s">
        <v>1177</v>
      </c>
      <c r="D308" s="9" t="s">
        <v>1178</v>
      </c>
      <c r="E308" s="9" t="s">
        <v>1179</v>
      </c>
      <c r="F308" s="9" t="s">
        <v>54</v>
      </c>
      <c r="G308" s="9" t="s">
        <v>1180</v>
      </c>
      <c r="H308" s="9" t="s">
        <v>1180</v>
      </c>
      <c r="I308" s="8" t="s">
        <v>49</v>
      </c>
      <c r="J308" s="8" t="s">
        <v>56</v>
      </c>
    </row>
    <row r="309" spans="1:10" ht="39" customHeight="1">
      <c r="A309" s="8">
        <v>309</v>
      </c>
      <c r="B309" s="9" t="s">
        <v>1144</v>
      </c>
      <c r="C309" s="8" t="s">
        <v>1181</v>
      </c>
      <c r="D309" s="9" t="s">
        <v>1182</v>
      </c>
      <c r="E309" s="9" t="s">
        <v>1183</v>
      </c>
      <c r="F309" s="9" t="s">
        <v>54</v>
      </c>
      <c r="G309" s="9" t="s">
        <v>1184</v>
      </c>
      <c r="H309" s="9" t="s">
        <v>1184</v>
      </c>
      <c r="I309" s="8" t="s">
        <v>49</v>
      </c>
      <c r="J309" s="8" t="s">
        <v>56</v>
      </c>
    </row>
    <row r="310" spans="1:10" ht="39" customHeight="1">
      <c r="A310" s="8">
        <v>310</v>
      </c>
      <c r="B310" s="9" t="s">
        <v>1185</v>
      </c>
      <c r="C310" s="8" t="s">
        <v>1186</v>
      </c>
      <c r="D310" s="9" t="s">
        <v>1187</v>
      </c>
      <c r="E310" s="9" t="s">
        <v>1188</v>
      </c>
      <c r="F310" s="9" t="s">
        <v>54</v>
      </c>
      <c r="G310" s="9" t="s">
        <v>1189</v>
      </c>
      <c r="H310" s="9" t="s">
        <v>1189</v>
      </c>
      <c r="I310" s="8" t="s">
        <v>49</v>
      </c>
      <c r="J310" s="8" t="s">
        <v>56</v>
      </c>
    </row>
    <row r="311" spans="1:10" ht="39" customHeight="1">
      <c r="A311" s="8">
        <v>311</v>
      </c>
      <c r="B311" s="9" t="s">
        <v>1185</v>
      </c>
      <c r="C311" s="8" t="s">
        <v>1190</v>
      </c>
      <c r="D311" s="9" t="s">
        <v>1191</v>
      </c>
      <c r="E311" s="9" t="s">
        <v>1192</v>
      </c>
      <c r="F311" s="9" t="s">
        <v>54</v>
      </c>
      <c r="G311" s="9" t="s">
        <v>1193</v>
      </c>
      <c r="H311" s="9" t="s">
        <v>1193</v>
      </c>
      <c r="I311" s="8" t="s">
        <v>49</v>
      </c>
      <c r="J311" s="8" t="s">
        <v>56</v>
      </c>
    </row>
    <row r="312" spans="1:10" ht="39" customHeight="1">
      <c r="A312" s="8">
        <v>312</v>
      </c>
      <c r="B312" s="9" t="s">
        <v>1185</v>
      </c>
      <c r="C312" s="8" t="s">
        <v>1194</v>
      </c>
      <c r="D312" s="9" t="s">
        <v>1195</v>
      </c>
      <c r="E312" s="9" t="s">
        <v>1196</v>
      </c>
      <c r="F312" s="9" t="s">
        <v>54</v>
      </c>
      <c r="G312" s="9" t="s">
        <v>1197</v>
      </c>
      <c r="H312" s="9" t="s">
        <v>1197</v>
      </c>
      <c r="I312" s="8" t="s">
        <v>49</v>
      </c>
      <c r="J312" s="8" t="s">
        <v>56</v>
      </c>
    </row>
    <row r="313" spans="1:10" ht="39" customHeight="1">
      <c r="A313" s="8">
        <v>313</v>
      </c>
      <c r="B313" s="9" t="s">
        <v>1185</v>
      </c>
      <c r="C313" s="8" t="s">
        <v>1198</v>
      </c>
      <c r="D313" s="9" t="s">
        <v>1199</v>
      </c>
      <c r="E313" s="9" t="s">
        <v>1200</v>
      </c>
      <c r="F313" s="9" t="s">
        <v>54</v>
      </c>
      <c r="G313" s="9" t="s">
        <v>1201</v>
      </c>
      <c r="H313" s="9" t="s">
        <v>1201</v>
      </c>
      <c r="I313" s="8" t="s">
        <v>49</v>
      </c>
      <c r="J313" s="8" t="s">
        <v>73</v>
      </c>
    </row>
    <row r="314" spans="1:10" ht="26.25" customHeight="1">
      <c r="A314" s="8">
        <v>314</v>
      </c>
      <c r="B314" s="9" t="s">
        <v>1185</v>
      </c>
      <c r="C314" s="8" t="s">
        <v>1202</v>
      </c>
      <c r="D314" s="9" t="s">
        <v>1203</v>
      </c>
      <c r="E314" s="9" t="s">
        <v>1204</v>
      </c>
      <c r="F314" s="9" t="s">
        <v>54</v>
      </c>
      <c r="G314" s="9" t="s">
        <v>1205</v>
      </c>
      <c r="H314" s="9" t="s">
        <v>1205</v>
      </c>
      <c r="I314" s="8" t="s">
        <v>49</v>
      </c>
      <c r="J314" s="8" t="s">
        <v>56</v>
      </c>
    </row>
    <row r="315" spans="1:10" ht="39" customHeight="1">
      <c r="A315" s="8">
        <v>315</v>
      </c>
      <c r="B315" s="9" t="s">
        <v>1185</v>
      </c>
      <c r="C315" s="8" t="s">
        <v>1206</v>
      </c>
      <c r="D315" s="9" t="s">
        <v>1207</v>
      </c>
      <c r="E315" s="9" t="s">
        <v>1208</v>
      </c>
      <c r="F315" s="9" t="s">
        <v>362</v>
      </c>
      <c r="G315" s="9" t="s">
        <v>1209</v>
      </c>
      <c r="H315" s="9" t="s">
        <v>1209</v>
      </c>
      <c r="I315" s="8" t="s">
        <v>49</v>
      </c>
      <c r="J315" s="8" t="s">
        <v>56</v>
      </c>
    </row>
    <row r="316" spans="1:10" ht="39" customHeight="1">
      <c r="A316" s="8">
        <v>316</v>
      </c>
      <c r="B316" s="9" t="s">
        <v>1185</v>
      </c>
      <c r="C316" s="8" t="s">
        <v>1210</v>
      </c>
      <c r="D316" s="9" t="s">
        <v>1211</v>
      </c>
      <c r="E316" s="9" t="s">
        <v>1212</v>
      </c>
      <c r="F316" s="9" t="s">
        <v>54</v>
      </c>
      <c r="G316" s="9" t="s">
        <v>1213</v>
      </c>
      <c r="H316" s="9" t="s">
        <v>1213</v>
      </c>
      <c r="I316" s="8" t="s">
        <v>49</v>
      </c>
      <c r="J316" s="8" t="s">
        <v>56</v>
      </c>
    </row>
    <row r="317" spans="1:10" ht="39" customHeight="1">
      <c r="A317" s="8">
        <v>317</v>
      </c>
      <c r="B317" s="9" t="s">
        <v>1185</v>
      </c>
      <c r="C317" s="8" t="s">
        <v>1214</v>
      </c>
      <c r="D317" s="9" t="s">
        <v>1215</v>
      </c>
      <c r="E317" s="9" t="s">
        <v>1216</v>
      </c>
      <c r="F317" s="9" t="s">
        <v>54</v>
      </c>
      <c r="G317" s="9" t="s">
        <v>1217</v>
      </c>
      <c r="H317" s="9" t="s">
        <v>1217</v>
      </c>
      <c r="I317" s="8" t="s">
        <v>49</v>
      </c>
      <c r="J317" s="8" t="s">
        <v>73</v>
      </c>
    </row>
    <row r="318" spans="1:10" ht="39" customHeight="1">
      <c r="A318" s="8">
        <v>318</v>
      </c>
      <c r="B318" s="9" t="s">
        <v>1185</v>
      </c>
      <c r="C318" s="8" t="s">
        <v>1218</v>
      </c>
      <c r="D318" s="9" t="s">
        <v>1219</v>
      </c>
      <c r="E318" s="9" t="s">
        <v>1220</v>
      </c>
      <c r="F318" s="9" t="s">
        <v>54</v>
      </c>
      <c r="G318" s="9" t="s">
        <v>1221</v>
      </c>
      <c r="H318" s="9" t="s">
        <v>1221</v>
      </c>
      <c r="I318" s="8" t="s">
        <v>49</v>
      </c>
      <c r="J318" s="8" t="s">
        <v>73</v>
      </c>
    </row>
    <row r="319" spans="1:10" ht="26.25" customHeight="1">
      <c r="A319" s="8">
        <v>319</v>
      </c>
      <c r="B319" s="9" t="s">
        <v>1185</v>
      </c>
      <c r="C319" s="8" t="s">
        <v>1222</v>
      </c>
      <c r="D319" s="9" t="s">
        <v>1223</v>
      </c>
      <c r="E319" s="9" t="s">
        <v>1224</v>
      </c>
      <c r="F319" s="9" t="s">
        <v>54</v>
      </c>
      <c r="G319" s="9" t="s">
        <v>1225</v>
      </c>
      <c r="H319" s="9" t="s">
        <v>1225</v>
      </c>
      <c r="I319" s="8" t="s">
        <v>49</v>
      </c>
      <c r="J319" s="8" t="s">
        <v>56</v>
      </c>
    </row>
    <row r="320" spans="1:10" ht="26.25" customHeight="1">
      <c r="A320" s="8">
        <v>320</v>
      </c>
      <c r="B320" s="9" t="s">
        <v>1226</v>
      </c>
      <c r="C320" s="8" t="s">
        <v>1227</v>
      </c>
      <c r="D320" s="9" t="s">
        <v>1228</v>
      </c>
      <c r="E320" s="9" t="s">
        <v>1229</v>
      </c>
      <c r="F320" s="9" t="s">
        <v>93</v>
      </c>
      <c r="G320" s="9" t="s">
        <v>1230</v>
      </c>
      <c r="H320" s="9" t="s">
        <v>1230</v>
      </c>
      <c r="I320" s="8" t="s">
        <v>49</v>
      </c>
      <c r="J320" s="8" t="s">
        <v>50</v>
      </c>
    </row>
    <row r="321" spans="1:10" ht="26.25" customHeight="1">
      <c r="A321" s="8">
        <v>321</v>
      </c>
      <c r="B321" s="9" t="s">
        <v>1226</v>
      </c>
      <c r="C321" s="8" t="s">
        <v>1231</v>
      </c>
      <c r="D321" s="9" t="s">
        <v>1232</v>
      </c>
      <c r="E321" s="9" t="s">
        <v>1233</v>
      </c>
      <c r="F321" s="9" t="s">
        <v>93</v>
      </c>
      <c r="G321" s="9" t="s">
        <v>1234</v>
      </c>
      <c r="H321" s="9" t="s">
        <v>1234</v>
      </c>
      <c r="I321" s="8" t="s">
        <v>49</v>
      </c>
      <c r="J321" s="8" t="s">
        <v>50</v>
      </c>
    </row>
    <row r="322" spans="1:10" ht="26.25" customHeight="1">
      <c r="A322" s="8">
        <v>322</v>
      </c>
      <c r="B322" s="9" t="s">
        <v>1226</v>
      </c>
      <c r="C322" s="8" t="s">
        <v>1235</v>
      </c>
      <c r="D322" s="9" t="s">
        <v>1236</v>
      </c>
      <c r="E322" s="9" t="s">
        <v>1237</v>
      </c>
      <c r="F322" s="9" t="s">
        <v>93</v>
      </c>
      <c r="G322" s="9" t="s">
        <v>1238</v>
      </c>
      <c r="H322" s="9" t="s">
        <v>1238</v>
      </c>
      <c r="I322" s="8" t="s">
        <v>49</v>
      </c>
      <c r="J322" s="8" t="s">
        <v>73</v>
      </c>
    </row>
    <row r="323" spans="1:10" ht="26.25" customHeight="1">
      <c r="A323" s="8">
        <v>323</v>
      </c>
      <c r="B323" s="9" t="s">
        <v>1226</v>
      </c>
      <c r="C323" s="8" t="s">
        <v>1239</v>
      </c>
      <c r="D323" s="9" t="s">
        <v>1240</v>
      </c>
      <c r="E323" s="9" t="s">
        <v>1241</v>
      </c>
      <c r="F323" s="9" t="s">
        <v>93</v>
      </c>
      <c r="G323" s="9" t="s">
        <v>1238</v>
      </c>
      <c r="H323" s="9" t="s">
        <v>1238</v>
      </c>
      <c r="I323" s="8" t="s">
        <v>49</v>
      </c>
      <c r="J323" s="8" t="s">
        <v>73</v>
      </c>
    </row>
    <row r="324" spans="1:10" ht="26.25" customHeight="1">
      <c r="A324" s="8">
        <v>324</v>
      </c>
      <c r="B324" s="9" t="s">
        <v>1226</v>
      </c>
      <c r="C324" s="8" t="s">
        <v>1242</v>
      </c>
      <c r="D324" s="9" t="s">
        <v>1243</v>
      </c>
      <c r="E324" s="9" t="s">
        <v>1244</v>
      </c>
      <c r="F324" s="9" t="s">
        <v>93</v>
      </c>
      <c r="G324" s="9" t="s">
        <v>1245</v>
      </c>
      <c r="H324" s="9" t="s">
        <v>1245</v>
      </c>
      <c r="I324" s="8" t="s">
        <v>49</v>
      </c>
      <c r="J324" s="8" t="s">
        <v>56</v>
      </c>
    </row>
    <row r="325" spans="1:10" ht="26.25" customHeight="1">
      <c r="A325" s="8">
        <v>325</v>
      </c>
      <c r="B325" s="9" t="s">
        <v>1226</v>
      </c>
      <c r="C325" s="8" t="s">
        <v>1246</v>
      </c>
      <c r="D325" s="9" t="s">
        <v>1247</v>
      </c>
      <c r="E325" s="9" t="s">
        <v>1248</v>
      </c>
      <c r="F325" s="9" t="s">
        <v>93</v>
      </c>
      <c r="G325" s="9" t="s">
        <v>1249</v>
      </c>
      <c r="H325" s="9" t="s">
        <v>1249</v>
      </c>
      <c r="I325" s="8" t="s">
        <v>49</v>
      </c>
      <c r="J325" s="8" t="s">
        <v>56</v>
      </c>
    </row>
    <row r="326" spans="1:10" ht="26.25" customHeight="1">
      <c r="A326" s="8">
        <v>326</v>
      </c>
      <c r="B326" s="9" t="s">
        <v>1226</v>
      </c>
      <c r="C326" s="8" t="s">
        <v>1250</v>
      </c>
      <c r="D326" s="9" t="s">
        <v>1251</v>
      </c>
      <c r="E326" s="9" t="s">
        <v>1252</v>
      </c>
      <c r="F326" s="9" t="s">
        <v>93</v>
      </c>
      <c r="G326" s="9" t="s">
        <v>1253</v>
      </c>
      <c r="H326" s="9" t="s">
        <v>1253</v>
      </c>
      <c r="I326" s="8" t="s">
        <v>49</v>
      </c>
      <c r="J326" s="8" t="s">
        <v>73</v>
      </c>
    </row>
    <row r="327" spans="1:10" ht="26.25" customHeight="1">
      <c r="A327" s="8">
        <v>327</v>
      </c>
      <c r="B327" s="9" t="s">
        <v>1226</v>
      </c>
      <c r="C327" s="8" t="s">
        <v>1254</v>
      </c>
      <c r="D327" s="9" t="s">
        <v>1255</v>
      </c>
      <c r="E327" s="9" t="s">
        <v>1256</v>
      </c>
      <c r="F327" s="9" t="s">
        <v>93</v>
      </c>
      <c r="G327" s="9" t="s">
        <v>1253</v>
      </c>
      <c r="H327" s="9" t="s">
        <v>1253</v>
      </c>
      <c r="I327" s="8" t="s">
        <v>49</v>
      </c>
      <c r="J327" s="8" t="s">
        <v>73</v>
      </c>
    </row>
    <row r="328" spans="1:10" ht="26.25" customHeight="1">
      <c r="A328" s="8">
        <v>328</v>
      </c>
      <c r="B328" s="9" t="s">
        <v>1226</v>
      </c>
      <c r="C328" s="8" t="s">
        <v>1257</v>
      </c>
      <c r="D328" s="9" t="s">
        <v>1258</v>
      </c>
      <c r="E328" s="9" t="s">
        <v>1259</v>
      </c>
      <c r="F328" s="9" t="s">
        <v>93</v>
      </c>
      <c r="G328" s="9" t="s">
        <v>1260</v>
      </c>
      <c r="H328" s="9" t="s">
        <v>1260</v>
      </c>
      <c r="I328" s="8" t="s">
        <v>49</v>
      </c>
      <c r="J328" s="8" t="s">
        <v>56</v>
      </c>
    </row>
    <row r="329" spans="1:10" ht="39" customHeight="1">
      <c r="A329" s="8">
        <v>329</v>
      </c>
      <c r="B329" s="9" t="s">
        <v>1226</v>
      </c>
      <c r="C329" s="8" t="s">
        <v>1261</v>
      </c>
      <c r="D329" s="9" t="s">
        <v>1262</v>
      </c>
      <c r="E329" s="9" t="s">
        <v>1263</v>
      </c>
      <c r="F329" s="9" t="s">
        <v>93</v>
      </c>
      <c r="G329" s="9" t="s">
        <v>1264</v>
      </c>
      <c r="H329" s="9" t="s">
        <v>1264</v>
      </c>
      <c r="I329" s="8" t="s">
        <v>49</v>
      </c>
      <c r="J329" s="8" t="s">
        <v>56</v>
      </c>
    </row>
    <row r="330" spans="1:10" ht="39" customHeight="1">
      <c r="A330" s="8">
        <v>330</v>
      </c>
      <c r="B330" s="9" t="s">
        <v>1265</v>
      </c>
      <c r="C330" s="8" t="s">
        <v>1266</v>
      </c>
      <c r="D330" s="9" t="s">
        <v>1267</v>
      </c>
      <c r="E330" s="9" t="s">
        <v>1268</v>
      </c>
      <c r="F330" s="9" t="s">
        <v>93</v>
      </c>
      <c r="G330" s="9" t="s">
        <v>1269</v>
      </c>
      <c r="H330" s="9" t="s">
        <v>1269</v>
      </c>
      <c r="I330" s="8" t="s">
        <v>49</v>
      </c>
      <c r="J330" s="8" t="s">
        <v>56</v>
      </c>
    </row>
    <row r="331" spans="1:10" ht="39" customHeight="1">
      <c r="A331" s="8">
        <v>331</v>
      </c>
      <c r="B331" s="9" t="s">
        <v>1265</v>
      </c>
      <c r="C331" s="8" t="s">
        <v>1270</v>
      </c>
      <c r="D331" s="9" t="s">
        <v>1271</v>
      </c>
      <c r="E331" s="9" t="s">
        <v>1272</v>
      </c>
      <c r="F331" s="9" t="s">
        <v>54</v>
      </c>
      <c r="G331" s="9" t="s">
        <v>1273</v>
      </c>
      <c r="H331" s="9" t="s">
        <v>1273</v>
      </c>
      <c r="I331" s="8" t="s">
        <v>49</v>
      </c>
      <c r="J331" s="8" t="s">
        <v>56</v>
      </c>
    </row>
    <row r="332" spans="1:10" ht="39" customHeight="1">
      <c r="A332" s="8">
        <v>332</v>
      </c>
      <c r="B332" s="9" t="s">
        <v>1265</v>
      </c>
      <c r="C332" s="8" t="s">
        <v>1274</v>
      </c>
      <c r="D332" s="9" t="s">
        <v>1275</v>
      </c>
      <c r="E332" s="9" t="s">
        <v>1276</v>
      </c>
      <c r="F332" s="9" t="s">
        <v>54</v>
      </c>
      <c r="G332" s="9" t="s">
        <v>1277</v>
      </c>
      <c r="H332" s="9" t="s">
        <v>1277</v>
      </c>
      <c r="I332" s="8" t="s">
        <v>49</v>
      </c>
      <c r="J332" s="8" t="s">
        <v>56</v>
      </c>
    </row>
    <row r="333" spans="1:10" ht="39" customHeight="1">
      <c r="A333" s="8">
        <v>333</v>
      </c>
      <c r="B333" s="9" t="s">
        <v>1265</v>
      </c>
      <c r="C333" s="8" t="s">
        <v>1278</v>
      </c>
      <c r="D333" s="9" t="s">
        <v>1279</v>
      </c>
      <c r="E333" s="9" t="s">
        <v>1280</v>
      </c>
      <c r="F333" s="9" t="s">
        <v>54</v>
      </c>
      <c r="G333" s="9" t="s">
        <v>1281</v>
      </c>
      <c r="H333" s="9" t="s">
        <v>1281</v>
      </c>
      <c r="I333" s="8" t="s">
        <v>49</v>
      </c>
      <c r="J333" s="8" t="s">
        <v>56</v>
      </c>
    </row>
    <row r="334" spans="1:10" ht="39" customHeight="1">
      <c r="A334" s="8">
        <v>334</v>
      </c>
      <c r="B334" s="9" t="s">
        <v>1265</v>
      </c>
      <c r="C334" s="8" t="s">
        <v>1282</v>
      </c>
      <c r="D334" s="9" t="s">
        <v>1283</v>
      </c>
      <c r="E334" s="9" t="s">
        <v>1284</v>
      </c>
      <c r="F334" s="9" t="s">
        <v>54</v>
      </c>
      <c r="G334" s="9" t="s">
        <v>1285</v>
      </c>
      <c r="H334" s="9" t="s">
        <v>1285</v>
      </c>
      <c r="I334" s="8" t="s">
        <v>49</v>
      </c>
      <c r="J334" s="8" t="s">
        <v>56</v>
      </c>
    </row>
    <row r="335" spans="1:10" ht="39" customHeight="1">
      <c r="A335" s="8">
        <v>335</v>
      </c>
      <c r="B335" s="9" t="s">
        <v>1265</v>
      </c>
      <c r="C335" s="8" t="s">
        <v>1286</v>
      </c>
      <c r="D335" s="9" t="s">
        <v>1287</v>
      </c>
      <c r="E335" s="9" t="s">
        <v>1288</v>
      </c>
      <c r="F335" s="9" t="s">
        <v>54</v>
      </c>
      <c r="G335" s="9" t="s">
        <v>1289</v>
      </c>
      <c r="H335" s="9" t="s">
        <v>1289</v>
      </c>
      <c r="I335" s="8" t="s">
        <v>49</v>
      </c>
      <c r="J335" s="8" t="s">
        <v>56</v>
      </c>
    </row>
    <row r="336" spans="1:10" ht="26.25" customHeight="1">
      <c r="A336" s="8">
        <v>336</v>
      </c>
      <c r="B336" s="9" t="s">
        <v>1265</v>
      </c>
      <c r="C336" s="8" t="s">
        <v>1290</v>
      </c>
      <c r="D336" s="9" t="s">
        <v>1291</v>
      </c>
      <c r="E336" s="9" t="s">
        <v>1292</v>
      </c>
      <c r="F336" s="9" t="s">
        <v>54</v>
      </c>
      <c r="G336" s="9" t="s">
        <v>1293</v>
      </c>
      <c r="H336" s="9" t="s">
        <v>1293</v>
      </c>
      <c r="I336" s="8" t="s">
        <v>49</v>
      </c>
      <c r="J336" s="8" t="s">
        <v>73</v>
      </c>
    </row>
    <row r="337" spans="1:10" ht="39" customHeight="1">
      <c r="A337" s="8">
        <v>337</v>
      </c>
      <c r="B337" s="9" t="s">
        <v>1265</v>
      </c>
      <c r="C337" s="8" t="s">
        <v>1294</v>
      </c>
      <c r="D337" s="9" t="s">
        <v>1295</v>
      </c>
      <c r="E337" s="9" t="s">
        <v>1296</v>
      </c>
      <c r="F337" s="9" t="s">
        <v>362</v>
      </c>
      <c r="G337" s="9" t="s">
        <v>1297</v>
      </c>
      <c r="H337" s="9" t="s">
        <v>1297</v>
      </c>
      <c r="I337" s="8" t="s">
        <v>49</v>
      </c>
      <c r="J337" s="8" t="s">
        <v>56</v>
      </c>
    </row>
    <row r="338" spans="1:10" ht="39" customHeight="1">
      <c r="A338" s="8">
        <v>338</v>
      </c>
      <c r="B338" s="9" t="s">
        <v>1265</v>
      </c>
      <c r="C338" s="8" t="s">
        <v>1298</v>
      </c>
      <c r="D338" s="9" t="s">
        <v>1299</v>
      </c>
      <c r="E338" s="9" t="s">
        <v>1300</v>
      </c>
      <c r="F338" s="9" t="s">
        <v>54</v>
      </c>
      <c r="G338" s="9" t="s">
        <v>1301</v>
      </c>
      <c r="H338" s="9" t="s">
        <v>1301</v>
      </c>
      <c r="I338" s="8" t="s">
        <v>49</v>
      </c>
      <c r="J338" s="8" t="s">
        <v>56</v>
      </c>
    </row>
    <row r="339" spans="1:10" ht="39" customHeight="1">
      <c r="A339" s="8">
        <v>339</v>
      </c>
      <c r="B339" s="9" t="s">
        <v>1265</v>
      </c>
      <c r="C339" s="8" t="s">
        <v>1302</v>
      </c>
      <c r="D339" s="9" t="s">
        <v>1303</v>
      </c>
      <c r="E339" s="9" t="s">
        <v>1304</v>
      </c>
      <c r="F339" s="9" t="s">
        <v>54</v>
      </c>
      <c r="G339" s="9" t="s">
        <v>1305</v>
      </c>
      <c r="H339" s="9" t="s">
        <v>1305</v>
      </c>
      <c r="I339" s="8" t="s">
        <v>49</v>
      </c>
      <c r="J339" s="8" t="s">
        <v>56</v>
      </c>
    </row>
    <row r="340" spans="1:10" ht="39" customHeight="1">
      <c r="A340" s="8">
        <v>340</v>
      </c>
      <c r="B340" s="9" t="s">
        <v>1306</v>
      </c>
      <c r="C340" s="8" t="s">
        <v>1307</v>
      </c>
      <c r="D340" s="9" t="s">
        <v>1308</v>
      </c>
      <c r="E340" s="9" t="s">
        <v>1309</v>
      </c>
      <c r="F340" s="9" t="s">
        <v>54</v>
      </c>
      <c r="G340" s="9" t="s">
        <v>1310</v>
      </c>
      <c r="H340" s="9" t="s">
        <v>1310</v>
      </c>
      <c r="I340" s="8" t="s">
        <v>49</v>
      </c>
      <c r="J340" s="8" t="s">
        <v>50</v>
      </c>
    </row>
    <row r="341" spans="1:10" ht="26.25" customHeight="1">
      <c r="A341" s="8">
        <v>341</v>
      </c>
      <c r="B341" s="9" t="s">
        <v>1306</v>
      </c>
      <c r="C341" s="8" t="s">
        <v>1311</v>
      </c>
      <c r="D341" s="9" t="s">
        <v>1312</v>
      </c>
      <c r="E341" s="9" t="s">
        <v>1313</v>
      </c>
      <c r="F341" s="9" t="s">
        <v>54</v>
      </c>
      <c r="G341" s="9" t="s">
        <v>1314</v>
      </c>
      <c r="H341" s="9" t="s">
        <v>1314</v>
      </c>
      <c r="I341" s="8" t="s">
        <v>49</v>
      </c>
      <c r="J341" s="8" t="s">
        <v>73</v>
      </c>
    </row>
    <row r="342" spans="1:10" ht="39" customHeight="1">
      <c r="A342" s="8">
        <v>342</v>
      </c>
      <c r="B342" s="9" t="s">
        <v>1306</v>
      </c>
      <c r="C342" s="8" t="s">
        <v>1315</v>
      </c>
      <c r="D342" s="9" t="s">
        <v>1316</v>
      </c>
      <c r="E342" s="9" t="s">
        <v>1317</v>
      </c>
      <c r="F342" s="9" t="s">
        <v>362</v>
      </c>
      <c r="G342" s="9" t="s">
        <v>1318</v>
      </c>
      <c r="H342" s="9" t="s">
        <v>1318</v>
      </c>
      <c r="I342" s="8" t="s">
        <v>49</v>
      </c>
      <c r="J342" s="8" t="s">
        <v>73</v>
      </c>
    </row>
    <row r="343" spans="1:10" ht="39" customHeight="1">
      <c r="A343" s="8">
        <v>343</v>
      </c>
      <c r="B343" s="9" t="s">
        <v>1306</v>
      </c>
      <c r="C343" s="8" t="s">
        <v>1319</v>
      </c>
      <c r="D343" s="9" t="s">
        <v>1320</v>
      </c>
      <c r="E343" s="9" t="s">
        <v>1321</v>
      </c>
      <c r="F343" s="9" t="s">
        <v>54</v>
      </c>
      <c r="G343" s="9" t="s">
        <v>1322</v>
      </c>
      <c r="H343" s="9" t="s">
        <v>1322</v>
      </c>
      <c r="I343" s="8" t="s">
        <v>49</v>
      </c>
      <c r="J343" s="8" t="s">
        <v>73</v>
      </c>
    </row>
    <row r="344" spans="1:10" ht="39" customHeight="1">
      <c r="A344" s="8">
        <v>344</v>
      </c>
      <c r="B344" s="9" t="s">
        <v>1306</v>
      </c>
      <c r="C344" s="8" t="s">
        <v>1323</v>
      </c>
      <c r="D344" s="9" t="s">
        <v>1324</v>
      </c>
      <c r="E344" s="9" t="s">
        <v>1325</v>
      </c>
      <c r="F344" s="9" t="s">
        <v>123</v>
      </c>
      <c r="G344" s="9" t="s">
        <v>1326</v>
      </c>
      <c r="H344" s="9" t="s">
        <v>1326</v>
      </c>
      <c r="I344" s="8" t="s">
        <v>49</v>
      </c>
      <c r="J344" s="8" t="s">
        <v>56</v>
      </c>
    </row>
    <row r="345" spans="1:10" ht="39" customHeight="1">
      <c r="A345" s="8">
        <v>345</v>
      </c>
      <c r="B345" s="9" t="s">
        <v>1306</v>
      </c>
      <c r="C345" s="8" t="s">
        <v>1327</v>
      </c>
      <c r="D345" s="9" t="s">
        <v>1328</v>
      </c>
      <c r="E345" s="9" t="s">
        <v>1329</v>
      </c>
      <c r="F345" s="9" t="s">
        <v>54</v>
      </c>
      <c r="G345" s="9" t="s">
        <v>1330</v>
      </c>
      <c r="H345" s="9" t="s">
        <v>1330</v>
      </c>
      <c r="I345" s="8" t="s">
        <v>49</v>
      </c>
      <c r="J345" s="8" t="s">
        <v>56</v>
      </c>
    </row>
    <row r="346" spans="1:10" ht="39" customHeight="1">
      <c r="A346" s="8">
        <v>346</v>
      </c>
      <c r="B346" s="9" t="s">
        <v>1306</v>
      </c>
      <c r="C346" s="8" t="s">
        <v>1331</v>
      </c>
      <c r="D346" s="9" t="s">
        <v>1332</v>
      </c>
      <c r="E346" s="9" t="s">
        <v>1333</v>
      </c>
      <c r="F346" s="9" t="s">
        <v>123</v>
      </c>
      <c r="G346" s="9" t="s">
        <v>1334</v>
      </c>
      <c r="H346" s="9" t="s">
        <v>1334</v>
      </c>
      <c r="I346" s="8" t="s">
        <v>49</v>
      </c>
      <c r="J346" s="8" t="s">
        <v>56</v>
      </c>
    </row>
    <row r="347" spans="1:10" ht="39" customHeight="1">
      <c r="A347" s="8">
        <v>347</v>
      </c>
      <c r="B347" s="9" t="s">
        <v>1306</v>
      </c>
      <c r="C347" s="8" t="s">
        <v>1335</v>
      </c>
      <c r="D347" s="9" t="s">
        <v>1336</v>
      </c>
      <c r="E347" s="9" t="s">
        <v>1337</v>
      </c>
      <c r="F347" s="9" t="s">
        <v>54</v>
      </c>
      <c r="G347" s="9" t="s">
        <v>1338</v>
      </c>
      <c r="H347" s="9" t="s">
        <v>1338</v>
      </c>
      <c r="I347" s="8" t="s">
        <v>49</v>
      </c>
      <c r="J347" s="8" t="s">
        <v>56</v>
      </c>
    </row>
    <row r="348" spans="1:10" ht="39" customHeight="1">
      <c r="A348" s="8">
        <v>348</v>
      </c>
      <c r="B348" s="9" t="s">
        <v>1306</v>
      </c>
      <c r="C348" s="8" t="s">
        <v>1339</v>
      </c>
      <c r="D348" s="9" t="s">
        <v>1340</v>
      </c>
      <c r="E348" s="9" t="s">
        <v>1341</v>
      </c>
      <c r="F348" s="9" t="s">
        <v>54</v>
      </c>
      <c r="G348" s="9" t="s">
        <v>1342</v>
      </c>
      <c r="H348" s="9" t="s">
        <v>1342</v>
      </c>
      <c r="I348" s="8" t="s">
        <v>49</v>
      </c>
      <c r="J348" s="8" t="s">
        <v>73</v>
      </c>
    </row>
    <row r="349" spans="1:10" ht="39" customHeight="1">
      <c r="A349" s="8">
        <v>349</v>
      </c>
      <c r="B349" s="9" t="s">
        <v>1306</v>
      </c>
      <c r="C349" s="8" t="s">
        <v>1343</v>
      </c>
      <c r="D349" s="9" t="s">
        <v>1344</v>
      </c>
      <c r="E349" s="9" t="s">
        <v>1345</v>
      </c>
      <c r="F349" s="9" t="s">
        <v>54</v>
      </c>
      <c r="G349" s="9" t="s">
        <v>1346</v>
      </c>
      <c r="H349" s="9" t="s">
        <v>1346</v>
      </c>
      <c r="I349" s="8" t="s">
        <v>49</v>
      </c>
      <c r="J349" s="8" t="s">
        <v>56</v>
      </c>
    </row>
    <row r="350" spans="1:10" ht="39" customHeight="1">
      <c r="A350" s="8">
        <v>350</v>
      </c>
      <c r="B350" s="9" t="s">
        <v>1306</v>
      </c>
      <c r="C350" s="8" t="s">
        <v>1347</v>
      </c>
      <c r="D350" s="9" t="s">
        <v>1348</v>
      </c>
      <c r="E350" s="9" t="s">
        <v>1349</v>
      </c>
      <c r="F350" s="9" t="s">
        <v>54</v>
      </c>
      <c r="G350" s="9" t="s">
        <v>1350</v>
      </c>
      <c r="H350" s="9" t="s">
        <v>1350</v>
      </c>
      <c r="I350" s="8" t="s">
        <v>49</v>
      </c>
      <c r="J350" s="8" t="s">
        <v>56</v>
      </c>
    </row>
    <row r="351" spans="1:10" ht="39" customHeight="1">
      <c r="A351" s="8">
        <v>351</v>
      </c>
      <c r="B351" s="9" t="s">
        <v>1306</v>
      </c>
      <c r="C351" s="8" t="s">
        <v>1351</v>
      </c>
      <c r="D351" s="9" t="s">
        <v>1352</v>
      </c>
      <c r="E351" s="9" t="s">
        <v>1353</v>
      </c>
      <c r="F351" s="9" t="s">
        <v>54</v>
      </c>
      <c r="G351" s="9" t="s">
        <v>1354</v>
      </c>
      <c r="H351" s="9" t="s">
        <v>1354</v>
      </c>
      <c r="I351" s="8" t="s">
        <v>49</v>
      </c>
      <c r="J351" s="8" t="s">
        <v>56</v>
      </c>
    </row>
    <row r="352" spans="1:10" ht="39" customHeight="1">
      <c r="A352" s="8">
        <v>352</v>
      </c>
      <c r="B352" s="9" t="s">
        <v>1306</v>
      </c>
      <c r="C352" s="8" t="s">
        <v>1355</v>
      </c>
      <c r="D352" s="9" t="s">
        <v>1356</v>
      </c>
      <c r="E352" s="9" t="s">
        <v>1357</v>
      </c>
      <c r="F352" s="9" t="s">
        <v>54</v>
      </c>
      <c r="G352" s="9" t="s">
        <v>1358</v>
      </c>
      <c r="H352" s="9" t="s">
        <v>1358</v>
      </c>
      <c r="I352" s="8" t="s">
        <v>49</v>
      </c>
      <c r="J352" s="8" t="s">
        <v>73</v>
      </c>
    </row>
    <row r="353" spans="1:10" ht="39" customHeight="1">
      <c r="A353" s="8">
        <v>353</v>
      </c>
      <c r="B353" s="9" t="s">
        <v>1306</v>
      </c>
      <c r="C353" s="8" t="s">
        <v>1359</v>
      </c>
      <c r="D353" s="9" t="s">
        <v>1360</v>
      </c>
      <c r="E353" s="9" t="s">
        <v>1361</v>
      </c>
      <c r="F353" s="9" t="s">
        <v>54</v>
      </c>
      <c r="G353" s="9" t="s">
        <v>1362</v>
      </c>
      <c r="H353" s="9" t="s">
        <v>1362</v>
      </c>
      <c r="I353" s="8" t="s">
        <v>49</v>
      </c>
      <c r="J353" s="8" t="s">
        <v>56</v>
      </c>
    </row>
    <row r="354" spans="1:10" ht="26.25" customHeight="1">
      <c r="A354" s="8">
        <v>354</v>
      </c>
      <c r="B354" s="9" t="s">
        <v>1306</v>
      </c>
      <c r="C354" s="8" t="s">
        <v>1363</v>
      </c>
      <c r="D354" s="9" t="s">
        <v>1364</v>
      </c>
      <c r="E354" s="9" t="s">
        <v>1365</v>
      </c>
      <c r="F354" s="9" t="s">
        <v>54</v>
      </c>
      <c r="G354" s="9" t="s">
        <v>1366</v>
      </c>
      <c r="H354" s="9" t="s">
        <v>1366</v>
      </c>
      <c r="I354" s="8" t="s">
        <v>49</v>
      </c>
      <c r="J354" s="8" t="s">
        <v>73</v>
      </c>
    </row>
    <row r="355" spans="1:10" ht="26.25" customHeight="1">
      <c r="A355" s="8">
        <v>355</v>
      </c>
      <c r="B355" s="9" t="s">
        <v>1367</v>
      </c>
      <c r="C355" s="8" t="s">
        <v>1368</v>
      </c>
      <c r="D355" s="9" t="s">
        <v>1369</v>
      </c>
      <c r="E355" s="9" t="s">
        <v>1370</v>
      </c>
      <c r="F355" s="9" t="s">
        <v>362</v>
      </c>
      <c r="G355" s="9" t="s">
        <v>1371</v>
      </c>
      <c r="H355" s="9" t="s">
        <v>1371</v>
      </c>
      <c r="I355" s="8" t="s">
        <v>49</v>
      </c>
      <c r="J355" s="8" t="s">
        <v>73</v>
      </c>
    </row>
    <row r="356" spans="1:10" ht="26.25" customHeight="1">
      <c r="A356" s="8">
        <v>356</v>
      </c>
      <c r="B356" s="9" t="s">
        <v>1367</v>
      </c>
      <c r="C356" s="8" t="s">
        <v>1372</v>
      </c>
      <c r="D356" s="9" t="s">
        <v>1373</v>
      </c>
      <c r="E356" s="9" t="s">
        <v>1374</v>
      </c>
      <c r="F356" s="9" t="s">
        <v>362</v>
      </c>
      <c r="G356" s="9" t="s">
        <v>1375</v>
      </c>
      <c r="H356" s="9" t="s">
        <v>1375</v>
      </c>
      <c r="I356" s="8" t="s">
        <v>49</v>
      </c>
      <c r="J356" s="8" t="s">
        <v>73</v>
      </c>
    </row>
    <row r="357" spans="1:10" ht="26.25" customHeight="1">
      <c r="A357" s="8">
        <v>357</v>
      </c>
      <c r="B357" s="9" t="s">
        <v>1367</v>
      </c>
      <c r="C357" s="8" t="s">
        <v>1376</v>
      </c>
      <c r="D357" s="9" t="s">
        <v>1377</v>
      </c>
      <c r="E357" s="9" t="s">
        <v>1378</v>
      </c>
      <c r="F357" s="9" t="s">
        <v>362</v>
      </c>
      <c r="G357" s="9" t="s">
        <v>1379</v>
      </c>
      <c r="H357" s="9" t="s">
        <v>1379</v>
      </c>
      <c r="I357" s="8" t="s">
        <v>49</v>
      </c>
      <c r="J357" s="8" t="s">
        <v>73</v>
      </c>
    </row>
    <row r="358" spans="1:10" ht="26.25" customHeight="1">
      <c r="A358" s="8">
        <v>358</v>
      </c>
      <c r="B358" s="9" t="s">
        <v>1367</v>
      </c>
      <c r="C358" s="8" t="s">
        <v>1380</v>
      </c>
      <c r="D358" s="9" t="s">
        <v>1381</v>
      </c>
      <c r="E358" s="9" t="s">
        <v>1382</v>
      </c>
      <c r="F358" s="9" t="s">
        <v>362</v>
      </c>
      <c r="G358" s="9" t="s">
        <v>1383</v>
      </c>
      <c r="H358" s="9" t="s">
        <v>1383</v>
      </c>
      <c r="I358" s="8" t="s">
        <v>49</v>
      </c>
      <c r="J358" s="8" t="s">
        <v>56</v>
      </c>
    </row>
    <row r="359" spans="1:10" ht="26.25" customHeight="1">
      <c r="A359" s="8">
        <v>359</v>
      </c>
      <c r="B359" s="9" t="s">
        <v>1367</v>
      </c>
      <c r="C359" s="8" t="s">
        <v>1384</v>
      </c>
      <c r="D359" s="9" t="s">
        <v>1385</v>
      </c>
      <c r="E359" s="9" t="s">
        <v>1386</v>
      </c>
      <c r="F359" s="9" t="s">
        <v>362</v>
      </c>
      <c r="G359" s="9" t="s">
        <v>1387</v>
      </c>
      <c r="H359" s="9" t="s">
        <v>1387</v>
      </c>
      <c r="I359" s="8" t="s">
        <v>49</v>
      </c>
      <c r="J359" s="8" t="s">
        <v>56</v>
      </c>
    </row>
    <row r="360" spans="1:10" ht="26.25" customHeight="1">
      <c r="A360" s="8">
        <v>360</v>
      </c>
      <c r="B360" s="9" t="s">
        <v>1367</v>
      </c>
      <c r="C360" s="8" t="s">
        <v>1388</v>
      </c>
      <c r="D360" s="9" t="s">
        <v>1389</v>
      </c>
      <c r="E360" s="9" t="s">
        <v>1390</v>
      </c>
      <c r="F360" s="9" t="s">
        <v>362</v>
      </c>
      <c r="G360" s="9" t="s">
        <v>1391</v>
      </c>
      <c r="H360" s="9" t="s">
        <v>1391</v>
      </c>
      <c r="I360" s="8" t="s">
        <v>49</v>
      </c>
      <c r="J360" s="8" t="s">
        <v>56</v>
      </c>
    </row>
    <row r="361" spans="1:10" ht="26.25" customHeight="1">
      <c r="A361" s="8">
        <v>361</v>
      </c>
      <c r="B361" s="9" t="s">
        <v>1367</v>
      </c>
      <c r="C361" s="8" t="s">
        <v>1392</v>
      </c>
      <c r="D361" s="9" t="s">
        <v>1393</v>
      </c>
      <c r="E361" s="9" t="s">
        <v>1394</v>
      </c>
      <c r="F361" s="9" t="s">
        <v>362</v>
      </c>
      <c r="G361" s="9" t="s">
        <v>1395</v>
      </c>
      <c r="H361" s="9" t="s">
        <v>1395</v>
      </c>
      <c r="I361" s="8" t="s">
        <v>49</v>
      </c>
      <c r="J361" s="8" t="s">
        <v>56</v>
      </c>
    </row>
    <row r="362" spans="1:10" ht="39" customHeight="1">
      <c r="A362" s="8">
        <v>362</v>
      </c>
      <c r="B362" s="9" t="s">
        <v>1367</v>
      </c>
      <c r="C362" s="8" t="s">
        <v>1396</v>
      </c>
      <c r="D362" s="9" t="s">
        <v>1397</v>
      </c>
      <c r="E362" s="9" t="s">
        <v>1398</v>
      </c>
      <c r="F362" s="9" t="s">
        <v>362</v>
      </c>
      <c r="G362" s="9" t="s">
        <v>1399</v>
      </c>
      <c r="H362" s="9" t="s">
        <v>1399</v>
      </c>
      <c r="I362" s="8" t="s">
        <v>49</v>
      </c>
      <c r="J362" s="8" t="s">
        <v>56</v>
      </c>
    </row>
    <row r="363" spans="1:10" ht="39" customHeight="1">
      <c r="A363" s="8">
        <v>363</v>
      </c>
      <c r="B363" s="9" t="s">
        <v>1400</v>
      </c>
      <c r="C363" s="8" t="s">
        <v>1401</v>
      </c>
      <c r="D363" s="9" t="s">
        <v>1402</v>
      </c>
      <c r="E363" s="9" t="s">
        <v>1403</v>
      </c>
      <c r="F363" s="9" t="s">
        <v>54</v>
      </c>
      <c r="G363" s="9" t="s">
        <v>1404</v>
      </c>
      <c r="H363" s="9" t="s">
        <v>1404</v>
      </c>
      <c r="I363" s="8" t="s">
        <v>49</v>
      </c>
      <c r="J363" s="8" t="s">
        <v>73</v>
      </c>
    </row>
    <row r="364" spans="1:10" ht="39" customHeight="1">
      <c r="A364" s="8">
        <v>364</v>
      </c>
      <c r="B364" s="9" t="s">
        <v>1400</v>
      </c>
      <c r="C364" s="8" t="s">
        <v>1405</v>
      </c>
      <c r="D364" s="9" t="s">
        <v>1406</v>
      </c>
      <c r="E364" s="9" t="s">
        <v>1407</v>
      </c>
      <c r="F364" s="9" t="s">
        <v>54</v>
      </c>
      <c r="G364" s="9" t="s">
        <v>1408</v>
      </c>
      <c r="H364" s="9" t="s">
        <v>1408</v>
      </c>
      <c r="I364" s="8" t="s">
        <v>49</v>
      </c>
      <c r="J364" s="8" t="s">
        <v>73</v>
      </c>
    </row>
    <row r="365" spans="1:10" ht="39" customHeight="1">
      <c r="A365" s="8">
        <v>365</v>
      </c>
      <c r="B365" s="9" t="s">
        <v>1400</v>
      </c>
      <c r="C365" s="8" t="s">
        <v>1409</v>
      </c>
      <c r="D365" s="9" t="s">
        <v>1410</v>
      </c>
      <c r="E365" s="9" t="s">
        <v>1411</v>
      </c>
      <c r="F365" s="9" t="s">
        <v>54</v>
      </c>
      <c r="G365" s="9" t="s">
        <v>1412</v>
      </c>
      <c r="H365" s="9" t="s">
        <v>1412</v>
      </c>
      <c r="I365" s="8" t="s">
        <v>49</v>
      </c>
      <c r="J365" s="8" t="s">
        <v>73</v>
      </c>
    </row>
    <row r="366" spans="1:10" ht="39" customHeight="1">
      <c r="A366" s="8">
        <v>366</v>
      </c>
      <c r="B366" s="9" t="s">
        <v>1400</v>
      </c>
      <c r="C366" s="8" t="s">
        <v>1413</v>
      </c>
      <c r="D366" s="9" t="s">
        <v>1414</v>
      </c>
      <c r="E366" s="9" t="s">
        <v>1415</v>
      </c>
      <c r="F366" s="9" t="s">
        <v>54</v>
      </c>
      <c r="G366" s="9" t="s">
        <v>1416</v>
      </c>
      <c r="H366" s="9" t="s">
        <v>1416</v>
      </c>
      <c r="I366" s="8" t="s">
        <v>49</v>
      </c>
      <c r="J366" s="8" t="s">
        <v>73</v>
      </c>
    </row>
    <row r="367" spans="1:10" ht="39" customHeight="1">
      <c r="A367" s="8">
        <v>367</v>
      </c>
      <c r="B367" s="9" t="s">
        <v>1400</v>
      </c>
      <c r="C367" s="8" t="s">
        <v>1417</v>
      </c>
      <c r="D367" s="9" t="s">
        <v>1418</v>
      </c>
      <c r="E367" s="9" t="s">
        <v>1419</v>
      </c>
      <c r="F367" s="9" t="s">
        <v>54</v>
      </c>
      <c r="G367" s="9" t="s">
        <v>1420</v>
      </c>
      <c r="H367" s="9" t="s">
        <v>1420</v>
      </c>
      <c r="I367" s="8" t="s">
        <v>49</v>
      </c>
      <c r="J367" s="8" t="s">
        <v>73</v>
      </c>
    </row>
    <row r="368" spans="1:10" ht="39" customHeight="1">
      <c r="A368" s="8">
        <v>368</v>
      </c>
      <c r="B368" s="9" t="s">
        <v>1400</v>
      </c>
      <c r="C368" s="8" t="s">
        <v>1421</v>
      </c>
      <c r="D368" s="9" t="s">
        <v>1422</v>
      </c>
      <c r="E368" s="9" t="s">
        <v>1423</v>
      </c>
      <c r="F368" s="9" t="s">
        <v>54</v>
      </c>
      <c r="G368" s="9" t="s">
        <v>1424</v>
      </c>
      <c r="H368" s="9" t="s">
        <v>1424</v>
      </c>
      <c r="I368" s="8" t="s">
        <v>49</v>
      </c>
      <c r="J368" s="8" t="s">
        <v>73</v>
      </c>
    </row>
    <row r="369" spans="1:10" ht="39" customHeight="1">
      <c r="A369" s="8">
        <v>369</v>
      </c>
      <c r="B369" s="9" t="s">
        <v>1400</v>
      </c>
      <c r="C369" s="8" t="s">
        <v>1425</v>
      </c>
      <c r="D369" s="9" t="s">
        <v>1426</v>
      </c>
      <c r="E369" s="9" t="s">
        <v>1427</v>
      </c>
      <c r="F369" s="9" t="s">
        <v>54</v>
      </c>
      <c r="G369" s="9" t="s">
        <v>1428</v>
      </c>
      <c r="H369" s="9" t="s">
        <v>1428</v>
      </c>
      <c r="I369" s="8" t="s">
        <v>49</v>
      </c>
      <c r="J369" s="8" t="s">
        <v>73</v>
      </c>
    </row>
    <row r="370" spans="1:10" ht="39" customHeight="1">
      <c r="A370" s="8">
        <v>370</v>
      </c>
      <c r="B370" s="9" t="s">
        <v>1400</v>
      </c>
      <c r="C370" s="8" t="s">
        <v>1429</v>
      </c>
      <c r="D370" s="9" t="s">
        <v>1430</v>
      </c>
      <c r="E370" s="9" t="s">
        <v>1431</v>
      </c>
      <c r="F370" s="9" t="s">
        <v>54</v>
      </c>
      <c r="G370" s="9" t="s">
        <v>1432</v>
      </c>
      <c r="H370" s="9" t="s">
        <v>1432</v>
      </c>
      <c r="I370" s="8" t="s">
        <v>49</v>
      </c>
      <c r="J370" s="8" t="s">
        <v>73</v>
      </c>
    </row>
    <row r="371" spans="1:10" ht="39" customHeight="1">
      <c r="A371" s="8">
        <v>371</v>
      </c>
      <c r="B371" s="9" t="s">
        <v>1400</v>
      </c>
      <c r="C371" s="8" t="s">
        <v>1433</v>
      </c>
      <c r="D371" s="9" t="s">
        <v>1434</v>
      </c>
      <c r="E371" s="9" t="s">
        <v>1435</v>
      </c>
      <c r="F371" s="9" t="s">
        <v>54</v>
      </c>
      <c r="G371" s="9" t="s">
        <v>1436</v>
      </c>
      <c r="H371" s="9" t="s">
        <v>1436</v>
      </c>
      <c r="I371" s="8" t="s">
        <v>49</v>
      </c>
      <c r="J371" s="8" t="s">
        <v>73</v>
      </c>
    </row>
    <row r="372" spans="1:10" ht="39" customHeight="1">
      <c r="A372" s="8">
        <v>372</v>
      </c>
      <c r="B372" s="9" t="s">
        <v>1400</v>
      </c>
      <c r="C372" s="8" t="s">
        <v>1437</v>
      </c>
      <c r="D372" s="9" t="s">
        <v>1438</v>
      </c>
      <c r="E372" s="9" t="s">
        <v>1439</v>
      </c>
      <c r="F372" s="9" t="s">
        <v>54</v>
      </c>
      <c r="G372" s="9" t="s">
        <v>1440</v>
      </c>
      <c r="H372" s="9" t="s">
        <v>1440</v>
      </c>
      <c r="I372" s="8" t="s">
        <v>49</v>
      </c>
      <c r="J372" s="8" t="s">
        <v>73</v>
      </c>
    </row>
    <row r="373" spans="1:10" ht="39" customHeight="1">
      <c r="A373" s="8">
        <v>373</v>
      </c>
      <c r="B373" s="9" t="s">
        <v>1400</v>
      </c>
      <c r="C373" s="8" t="s">
        <v>1441</v>
      </c>
      <c r="D373" s="9" t="s">
        <v>1442</v>
      </c>
      <c r="E373" s="9" t="s">
        <v>1443</v>
      </c>
      <c r="F373" s="9" t="s">
        <v>54</v>
      </c>
      <c r="G373" s="9" t="s">
        <v>1444</v>
      </c>
      <c r="H373" s="9" t="s">
        <v>1444</v>
      </c>
      <c r="I373" s="8" t="s">
        <v>49</v>
      </c>
      <c r="J373" s="8" t="s">
        <v>73</v>
      </c>
    </row>
    <row r="374" spans="1:10" ht="39" customHeight="1">
      <c r="A374" s="8">
        <v>374</v>
      </c>
      <c r="B374" s="9" t="s">
        <v>1400</v>
      </c>
      <c r="C374" s="8" t="s">
        <v>1445</v>
      </c>
      <c r="D374" s="9" t="s">
        <v>1446</v>
      </c>
      <c r="E374" s="9" t="s">
        <v>1447</v>
      </c>
      <c r="F374" s="9" t="s">
        <v>54</v>
      </c>
      <c r="G374" s="9" t="s">
        <v>1448</v>
      </c>
      <c r="H374" s="9" t="s">
        <v>1448</v>
      </c>
      <c r="I374" s="8" t="s">
        <v>49</v>
      </c>
      <c r="J374" s="8" t="s">
        <v>73</v>
      </c>
    </row>
    <row r="375" spans="1:10" ht="39" customHeight="1">
      <c r="A375" s="8">
        <v>375</v>
      </c>
      <c r="B375" s="9" t="s">
        <v>1400</v>
      </c>
      <c r="C375" s="8" t="s">
        <v>1449</v>
      </c>
      <c r="D375" s="9" t="s">
        <v>1450</v>
      </c>
      <c r="E375" s="9" t="s">
        <v>1451</v>
      </c>
      <c r="F375" s="9" t="s">
        <v>54</v>
      </c>
      <c r="G375" s="9" t="s">
        <v>1452</v>
      </c>
      <c r="H375" s="9" t="s">
        <v>1452</v>
      </c>
      <c r="I375" s="8" t="s">
        <v>49</v>
      </c>
      <c r="J375" s="8" t="s">
        <v>73</v>
      </c>
    </row>
    <row r="376" spans="1:10" ht="39" customHeight="1">
      <c r="A376" s="8">
        <v>376</v>
      </c>
      <c r="B376" s="9" t="s">
        <v>1400</v>
      </c>
      <c r="C376" s="8" t="s">
        <v>1453</v>
      </c>
      <c r="D376" s="9" t="s">
        <v>1454</v>
      </c>
      <c r="E376" s="9" t="s">
        <v>1455</v>
      </c>
      <c r="F376" s="9" t="s">
        <v>54</v>
      </c>
      <c r="G376" s="9" t="s">
        <v>1456</v>
      </c>
      <c r="H376" s="9" t="s">
        <v>1456</v>
      </c>
      <c r="I376" s="8" t="s">
        <v>49</v>
      </c>
      <c r="J376" s="8" t="s">
        <v>73</v>
      </c>
    </row>
    <row r="377" spans="1:10" ht="39" customHeight="1">
      <c r="A377" s="8">
        <v>377</v>
      </c>
      <c r="B377" s="9" t="s">
        <v>1400</v>
      </c>
      <c r="C377" s="8" t="s">
        <v>1457</v>
      </c>
      <c r="D377" s="9" t="s">
        <v>1458</v>
      </c>
      <c r="E377" s="9" t="s">
        <v>1459</v>
      </c>
      <c r="F377" s="9" t="s">
        <v>54</v>
      </c>
      <c r="G377" s="9" t="s">
        <v>1460</v>
      </c>
      <c r="H377" s="9" t="s">
        <v>1460</v>
      </c>
      <c r="I377" s="8" t="s">
        <v>49</v>
      </c>
      <c r="J377" s="8" t="s">
        <v>73</v>
      </c>
    </row>
    <row r="378" spans="1:10" ht="39" customHeight="1">
      <c r="A378" s="8">
        <v>378</v>
      </c>
      <c r="B378" s="9" t="s">
        <v>1400</v>
      </c>
      <c r="C378" s="8" t="s">
        <v>1461</v>
      </c>
      <c r="D378" s="9" t="s">
        <v>1462</v>
      </c>
      <c r="E378" s="9" t="s">
        <v>1463</v>
      </c>
      <c r="F378" s="9" t="s">
        <v>54</v>
      </c>
      <c r="G378" s="9" t="s">
        <v>1464</v>
      </c>
      <c r="H378" s="9" t="s">
        <v>1464</v>
      </c>
      <c r="I378" s="8" t="s">
        <v>49</v>
      </c>
      <c r="J378" s="8" t="s">
        <v>73</v>
      </c>
    </row>
    <row r="379" spans="1:10" ht="39" customHeight="1">
      <c r="A379" s="8">
        <v>379</v>
      </c>
      <c r="B379" s="9" t="s">
        <v>1400</v>
      </c>
      <c r="C379" s="8" t="s">
        <v>1465</v>
      </c>
      <c r="D379" s="9" t="s">
        <v>1466</v>
      </c>
      <c r="E379" s="9" t="s">
        <v>1467</v>
      </c>
      <c r="F379" s="9" t="s">
        <v>54</v>
      </c>
      <c r="G379" s="9" t="s">
        <v>1468</v>
      </c>
      <c r="H379" s="9" t="s">
        <v>1468</v>
      </c>
      <c r="I379" s="8" t="s">
        <v>49</v>
      </c>
      <c r="J379" s="8" t="s">
        <v>73</v>
      </c>
    </row>
    <row r="380" spans="1:10" ht="39" customHeight="1">
      <c r="A380" s="8">
        <v>380</v>
      </c>
      <c r="B380" s="9" t="s">
        <v>1400</v>
      </c>
      <c r="C380" s="8" t="s">
        <v>1469</v>
      </c>
      <c r="D380" s="9" t="s">
        <v>1470</v>
      </c>
      <c r="E380" s="9" t="s">
        <v>1471</v>
      </c>
      <c r="F380" s="9" t="s">
        <v>54</v>
      </c>
      <c r="G380" s="9" t="s">
        <v>1472</v>
      </c>
      <c r="H380" s="9" t="s">
        <v>1472</v>
      </c>
      <c r="I380" s="8" t="s">
        <v>49</v>
      </c>
      <c r="J380" s="8" t="s">
        <v>73</v>
      </c>
    </row>
    <row r="381" spans="1:10" ht="39" customHeight="1">
      <c r="A381" s="8">
        <v>381</v>
      </c>
      <c r="B381" s="9" t="s">
        <v>1400</v>
      </c>
      <c r="C381" s="8" t="s">
        <v>1473</v>
      </c>
      <c r="D381" s="9" t="s">
        <v>1474</v>
      </c>
      <c r="E381" s="9" t="s">
        <v>1475</v>
      </c>
      <c r="F381" s="9" t="s">
        <v>54</v>
      </c>
      <c r="G381" s="9" t="s">
        <v>1476</v>
      </c>
      <c r="H381" s="9" t="s">
        <v>1476</v>
      </c>
      <c r="I381" s="8" t="s">
        <v>49</v>
      </c>
      <c r="J381" s="8" t="s">
        <v>73</v>
      </c>
    </row>
    <row r="382" spans="1:10" ht="39" customHeight="1">
      <c r="A382" s="8">
        <v>382</v>
      </c>
      <c r="B382" s="9" t="s">
        <v>1400</v>
      </c>
      <c r="C382" s="8" t="s">
        <v>1477</v>
      </c>
      <c r="D382" s="9" t="s">
        <v>1478</v>
      </c>
      <c r="E382" s="9" t="s">
        <v>1479</v>
      </c>
      <c r="F382" s="9" t="s">
        <v>54</v>
      </c>
      <c r="G382" s="9" t="s">
        <v>1480</v>
      </c>
      <c r="H382" s="9" t="s">
        <v>1480</v>
      </c>
      <c r="I382" s="8" t="s">
        <v>49</v>
      </c>
      <c r="J382" s="8" t="s">
        <v>73</v>
      </c>
    </row>
    <row r="383" spans="1:10" ht="39" customHeight="1">
      <c r="A383" s="8">
        <v>383</v>
      </c>
      <c r="B383" s="9" t="s">
        <v>1400</v>
      </c>
      <c r="C383" s="8" t="s">
        <v>1481</v>
      </c>
      <c r="D383" s="9" t="s">
        <v>1482</v>
      </c>
      <c r="E383" s="9" t="s">
        <v>1483</v>
      </c>
      <c r="F383" s="9" t="s">
        <v>54</v>
      </c>
      <c r="G383" s="9" t="s">
        <v>1484</v>
      </c>
      <c r="H383" s="9" t="s">
        <v>1484</v>
      </c>
      <c r="I383" s="8" t="s">
        <v>49</v>
      </c>
      <c r="J383" s="8" t="s">
        <v>73</v>
      </c>
    </row>
    <row r="384" spans="1:10" ht="39" customHeight="1">
      <c r="A384" s="8">
        <v>384</v>
      </c>
      <c r="B384" s="9" t="s">
        <v>1400</v>
      </c>
      <c r="C384" s="8" t="s">
        <v>1485</v>
      </c>
      <c r="D384" s="9" t="s">
        <v>1486</v>
      </c>
      <c r="E384" s="9" t="s">
        <v>1487</v>
      </c>
      <c r="F384" s="9" t="s">
        <v>54</v>
      </c>
      <c r="G384" s="9" t="s">
        <v>1488</v>
      </c>
      <c r="H384" s="9" t="s">
        <v>1488</v>
      </c>
      <c r="I384" s="8" t="s">
        <v>49</v>
      </c>
      <c r="J384" s="8" t="s">
        <v>73</v>
      </c>
    </row>
    <row r="385" spans="1:10" ht="39" customHeight="1">
      <c r="A385" s="8">
        <v>385</v>
      </c>
      <c r="B385" s="9" t="s">
        <v>1400</v>
      </c>
      <c r="C385" s="8" t="s">
        <v>1489</v>
      </c>
      <c r="D385" s="9" t="s">
        <v>1490</v>
      </c>
      <c r="E385" s="9" t="s">
        <v>1491</v>
      </c>
      <c r="F385" s="9" t="s">
        <v>54</v>
      </c>
      <c r="G385" s="9" t="s">
        <v>1492</v>
      </c>
      <c r="H385" s="9" t="s">
        <v>1492</v>
      </c>
      <c r="I385" s="8" t="s">
        <v>49</v>
      </c>
      <c r="J385" s="8" t="s">
        <v>73</v>
      </c>
    </row>
    <row r="386" spans="1:10" ht="39" customHeight="1">
      <c r="A386" s="8">
        <v>386</v>
      </c>
      <c r="B386" s="9" t="s">
        <v>1400</v>
      </c>
      <c r="C386" s="8" t="s">
        <v>1493</v>
      </c>
      <c r="D386" s="9" t="s">
        <v>1494</v>
      </c>
      <c r="E386" s="9" t="s">
        <v>1495</v>
      </c>
      <c r="F386" s="9" t="s">
        <v>54</v>
      </c>
      <c r="G386" s="9" t="s">
        <v>1496</v>
      </c>
      <c r="H386" s="9" t="s">
        <v>1496</v>
      </c>
      <c r="I386" s="8" t="s">
        <v>49</v>
      </c>
      <c r="J386" s="8" t="s">
        <v>73</v>
      </c>
    </row>
    <row r="387" spans="1:10" ht="39" customHeight="1">
      <c r="A387" s="8">
        <v>387</v>
      </c>
      <c r="B387" s="9" t="s">
        <v>1400</v>
      </c>
      <c r="C387" s="8" t="s">
        <v>1497</v>
      </c>
      <c r="D387" s="9" t="s">
        <v>1498</v>
      </c>
      <c r="E387" s="9" t="s">
        <v>1499</v>
      </c>
      <c r="F387" s="9" t="s">
        <v>54</v>
      </c>
      <c r="G387" s="9" t="s">
        <v>1500</v>
      </c>
      <c r="H387" s="9" t="s">
        <v>1500</v>
      </c>
      <c r="I387" s="8" t="s">
        <v>49</v>
      </c>
      <c r="J387" s="8" t="s">
        <v>73</v>
      </c>
    </row>
    <row r="388" spans="1:10" ht="39" customHeight="1">
      <c r="A388" s="8">
        <v>388</v>
      </c>
      <c r="B388" s="9" t="s">
        <v>1400</v>
      </c>
      <c r="C388" s="8" t="s">
        <v>1501</v>
      </c>
      <c r="D388" s="9" t="s">
        <v>1502</v>
      </c>
      <c r="E388" s="9" t="s">
        <v>1503</v>
      </c>
      <c r="F388" s="9" t="s">
        <v>54</v>
      </c>
      <c r="G388" s="9" t="s">
        <v>1504</v>
      </c>
      <c r="H388" s="9" t="s">
        <v>1504</v>
      </c>
      <c r="I388" s="8" t="s">
        <v>49</v>
      </c>
      <c r="J388" s="8" t="s">
        <v>73</v>
      </c>
    </row>
    <row r="389" spans="1:10" ht="39" customHeight="1">
      <c r="A389" s="8">
        <v>389</v>
      </c>
      <c r="B389" s="9" t="s">
        <v>1400</v>
      </c>
      <c r="C389" s="8" t="s">
        <v>1505</v>
      </c>
      <c r="D389" s="9" t="s">
        <v>1506</v>
      </c>
      <c r="E389" s="9" t="s">
        <v>1507</v>
      </c>
      <c r="F389" s="9" t="s">
        <v>54</v>
      </c>
      <c r="G389" s="9" t="s">
        <v>1508</v>
      </c>
      <c r="H389" s="9" t="s">
        <v>1508</v>
      </c>
      <c r="I389" s="8" t="s">
        <v>49</v>
      </c>
      <c r="J389" s="8" t="s">
        <v>73</v>
      </c>
    </row>
    <row r="390" spans="1:10" ht="39" customHeight="1">
      <c r="A390" s="8">
        <v>390</v>
      </c>
      <c r="B390" s="9" t="s">
        <v>1400</v>
      </c>
      <c r="C390" s="8" t="s">
        <v>1509</v>
      </c>
      <c r="D390" s="9" t="s">
        <v>1510</v>
      </c>
      <c r="E390" s="9" t="s">
        <v>1511</v>
      </c>
      <c r="F390" s="9" t="s">
        <v>54</v>
      </c>
      <c r="G390" s="9" t="s">
        <v>1512</v>
      </c>
      <c r="H390" s="9" t="s">
        <v>1512</v>
      </c>
      <c r="I390" s="8" t="s">
        <v>49</v>
      </c>
      <c r="J390" s="8" t="s">
        <v>73</v>
      </c>
    </row>
    <row r="391" spans="1:10" ht="39" customHeight="1">
      <c r="A391" s="8">
        <v>391</v>
      </c>
      <c r="B391" s="9" t="s">
        <v>1400</v>
      </c>
      <c r="C391" s="8" t="s">
        <v>1513</v>
      </c>
      <c r="D391" s="9" t="s">
        <v>1514</v>
      </c>
      <c r="E391" s="9" t="s">
        <v>1515</v>
      </c>
      <c r="F391" s="9" t="s">
        <v>54</v>
      </c>
      <c r="G391" s="9" t="s">
        <v>1516</v>
      </c>
      <c r="H391" s="9" t="s">
        <v>1516</v>
      </c>
      <c r="I391" s="8" t="s">
        <v>49</v>
      </c>
      <c r="J391" s="8" t="s">
        <v>73</v>
      </c>
    </row>
    <row r="392" spans="1:10" ht="39" customHeight="1">
      <c r="A392" s="8">
        <v>392</v>
      </c>
      <c r="B392" s="9" t="s">
        <v>1400</v>
      </c>
      <c r="C392" s="8" t="s">
        <v>1517</v>
      </c>
      <c r="D392" s="9" t="s">
        <v>1518</v>
      </c>
      <c r="E392" s="9" t="s">
        <v>1519</v>
      </c>
      <c r="F392" s="9" t="s">
        <v>54</v>
      </c>
      <c r="G392" s="9" t="s">
        <v>1520</v>
      </c>
      <c r="H392" s="9" t="s">
        <v>1520</v>
      </c>
      <c r="I392" s="8" t="s">
        <v>49</v>
      </c>
      <c r="J392" s="8" t="s">
        <v>73</v>
      </c>
    </row>
    <row r="393" spans="1:10" ht="39" customHeight="1">
      <c r="A393" s="8">
        <v>393</v>
      </c>
      <c r="B393" s="9" t="s">
        <v>1521</v>
      </c>
      <c r="C393" s="8" t="s">
        <v>1522</v>
      </c>
      <c r="D393" s="9" t="s">
        <v>1523</v>
      </c>
      <c r="E393" s="9" t="s">
        <v>1524</v>
      </c>
      <c r="F393" s="9" t="s">
        <v>123</v>
      </c>
      <c r="G393" s="9" t="s">
        <v>1525</v>
      </c>
      <c r="H393" s="9" t="s">
        <v>1525</v>
      </c>
      <c r="I393" s="8" t="s">
        <v>49</v>
      </c>
      <c r="J393" s="8" t="s">
        <v>73</v>
      </c>
    </row>
    <row r="394" spans="1:10" ht="39" customHeight="1">
      <c r="A394" s="8">
        <v>394</v>
      </c>
      <c r="B394" s="9" t="s">
        <v>1521</v>
      </c>
      <c r="C394" s="8" t="s">
        <v>1526</v>
      </c>
      <c r="D394" s="9" t="s">
        <v>1527</v>
      </c>
      <c r="E394" s="9" t="s">
        <v>1528</v>
      </c>
      <c r="F394" s="9" t="s">
        <v>123</v>
      </c>
      <c r="G394" s="9" t="s">
        <v>1529</v>
      </c>
      <c r="H394" s="9" t="s">
        <v>1529</v>
      </c>
      <c r="I394" s="8" t="s">
        <v>49</v>
      </c>
      <c r="J394" s="8" t="s">
        <v>73</v>
      </c>
    </row>
    <row r="395" spans="1:10" ht="39" customHeight="1">
      <c r="A395" s="8">
        <v>395</v>
      </c>
      <c r="B395" s="9" t="s">
        <v>1521</v>
      </c>
      <c r="C395" s="8" t="s">
        <v>1530</v>
      </c>
      <c r="D395" s="9" t="s">
        <v>1531</v>
      </c>
      <c r="E395" s="9" t="s">
        <v>1532</v>
      </c>
      <c r="F395" s="9" t="s">
        <v>123</v>
      </c>
      <c r="G395" s="9" t="s">
        <v>1533</v>
      </c>
      <c r="H395" s="9" t="s">
        <v>1533</v>
      </c>
      <c r="I395" s="8" t="s">
        <v>49</v>
      </c>
      <c r="J395" s="8" t="s">
        <v>73</v>
      </c>
    </row>
    <row r="396" spans="1:10" ht="39" customHeight="1">
      <c r="A396" s="8">
        <v>396</v>
      </c>
      <c r="B396" s="9" t="s">
        <v>1521</v>
      </c>
      <c r="C396" s="8" t="s">
        <v>1534</v>
      </c>
      <c r="D396" s="9" t="s">
        <v>1535</v>
      </c>
      <c r="E396" s="9" t="s">
        <v>1536</v>
      </c>
      <c r="F396" s="9" t="s">
        <v>123</v>
      </c>
      <c r="G396" s="9" t="s">
        <v>1537</v>
      </c>
      <c r="H396" s="9" t="s">
        <v>1537</v>
      </c>
      <c r="I396" s="8" t="s">
        <v>49</v>
      </c>
      <c r="J396" s="8" t="s">
        <v>73</v>
      </c>
    </row>
    <row r="397" spans="1:10" ht="39" customHeight="1">
      <c r="A397" s="8">
        <v>397</v>
      </c>
      <c r="B397" s="9" t="s">
        <v>1521</v>
      </c>
      <c r="C397" s="8" t="s">
        <v>1538</v>
      </c>
      <c r="D397" s="9" t="s">
        <v>1539</v>
      </c>
      <c r="E397" s="9" t="s">
        <v>1540</v>
      </c>
      <c r="F397" s="9" t="s">
        <v>123</v>
      </c>
      <c r="G397" s="9" t="s">
        <v>1541</v>
      </c>
      <c r="H397" s="9" t="s">
        <v>1541</v>
      </c>
      <c r="I397" s="8" t="s">
        <v>49</v>
      </c>
      <c r="J397" s="8" t="s">
        <v>56</v>
      </c>
    </row>
    <row r="398" spans="1:10" ht="39" customHeight="1">
      <c r="A398" s="8">
        <v>398</v>
      </c>
      <c r="B398" s="9" t="s">
        <v>1521</v>
      </c>
      <c r="C398" s="8" t="s">
        <v>1542</v>
      </c>
      <c r="D398" s="9" t="s">
        <v>1543</v>
      </c>
      <c r="E398" s="9" t="s">
        <v>1544</v>
      </c>
      <c r="F398" s="9" t="s">
        <v>123</v>
      </c>
      <c r="G398" s="9" t="s">
        <v>1545</v>
      </c>
      <c r="H398" s="9" t="s">
        <v>1545</v>
      </c>
      <c r="I398" s="8" t="s">
        <v>49</v>
      </c>
      <c r="J398" s="8" t="s">
        <v>56</v>
      </c>
    </row>
    <row r="399" spans="1:10" ht="39" customHeight="1">
      <c r="A399" s="8">
        <v>399</v>
      </c>
      <c r="B399" s="9" t="s">
        <v>1521</v>
      </c>
      <c r="C399" s="8" t="s">
        <v>1546</v>
      </c>
      <c r="D399" s="9" t="s">
        <v>1547</v>
      </c>
      <c r="E399" s="9" t="s">
        <v>1548</v>
      </c>
      <c r="F399" s="9" t="s">
        <v>123</v>
      </c>
      <c r="G399" s="9" t="s">
        <v>1549</v>
      </c>
      <c r="H399" s="9" t="s">
        <v>1549</v>
      </c>
      <c r="I399" s="8" t="s">
        <v>49</v>
      </c>
      <c r="J399" s="8" t="s">
        <v>73</v>
      </c>
    </row>
    <row r="400" spans="1:10" ht="39" customHeight="1">
      <c r="A400" s="8">
        <v>400</v>
      </c>
      <c r="B400" s="9" t="s">
        <v>1521</v>
      </c>
      <c r="C400" s="8" t="s">
        <v>1550</v>
      </c>
      <c r="D400" s="9" t="s">
        <v>1551</v>
      </c>
      <c r="E400" s="9" t="s">
        <v>1552</v>
      </c>
      <c r="F400" s="9" t="s">
        <v>123</v>
      </c>
      <c r="G400" s="9" t="s">
        <v>1553</v>
      </c>
      <c r="H400" s="9" t="s">
        <v>1553</v>
      </c>
      <c r="I400" s="8" t="s">
        <v>49</v>
      </c>
      <c r="J400" s="8" t="s">
        <v>73</v>
      </c>
    </row>
    <row r="401" spans="1:10" ht="39" customHeight="1">
      <c r="A401" s="8">
        <v>401</v>
      </c>
      <c r="B401" s="9" t="s">
        <v>1521</v>
      </c>
      <c r="C401" s="8" t="s">
        <v>1554</v>
      </c>
      <c r="D401" s="9" t="s">
        <v>1555</v>
      </c>
      <c r="E401" s="9" t="s">
        <v>1556</v>
      </c>
      <c r="F401" s="9" t="s">
        <v>123</v>
      </c>
      <c r="G401" s="9" t="s">
        <v>1557</v>
      </c>
      <c r="H401" s="9" t="s">
        <v>1557</v>
      </c>
      <c r="I401" s="8" t="s">
        <v>49</v>
      </c>
      <c r="J401" s="8" t="s">
        <v>73</v>
      </c>
    </row>
    <row r="402" spans="1:10" ht="39" customHeight="1">
      <c r="A402" s="8">
        <v>402</v>
      </c>
      <c r="B402" s="9" t="s">
        <v>1521</v>
      </c>
      <c r="C402" s="8" t="s">
        <v>1558</v>
      </c>
      <c r="D402" s="9" t="s">
        <v>1559</v>
      </c>
      <c r="E402" s="9" t="s">
        <v>1560</v>
      </c>
      <c r="F402" s="9" t="s">
        <v>123</v>
      </c>
      <c r="G402" s="9" t="s">
        <v>1561</v>
      </c>
      <c r="H402" s="9" t="s">
        <v>1561</v>
      </c>
      <c r="I402" s="8" t="s">
        <v>49</v>
      </c>
      <c r="J402" s="8" t="s">
        <v>56</v>
      </c>
    </row>
    <row r="403" spans="1:10" ht="39" customHeight="1">
      <c r="A403" s="8">
        <v>403</v>
      </c>
      <c r="B403" s="9" t="s">
        <v>1521</v>
      </c>
      <c r="C403" s="8" t="s">
        <v>1562</v>
      </c>
      <c r="D403" s="9" t="s">
        <v>1563</v>
      </c>
      <c r="E403" s="9" t="s">
        <v>1564</v>
      </c>
      <c r="F403" s="9" t="s">
        <v>123</v>
      </c>
      <c r="G403" s="9" t="s">
        <v>1565</v>
      </c>
      <c r="H403" s="9" t="s">
        <v>1565</v>
      </c>
      <c r="I403" s="8" t="s">
        <v>49</v>
      </c>
      <c r="J403" s="8" t="s">
        <v>56</v>
      </c>
    </row>
    <row r="404" spans="1:10" ht="39" customHeight="1">
      <c r="A404" s="8">
        <v>404</v>
      </c>
      <c r="B404" s="9" t="s">
        <v>1521</v>
      </c>
      <c r="C404" s="8" t="s">
        <v>1566</v>
      </c>
      <c r="D404" s="9" t="s">
        <v>1567</v>
      </c>
      <c r="E404" s="9" t="s">
        <v>1568</v>
      </c>
      <c r="F404" s="9" t="s">
        <v>123</v>
      </c>
      <c r="G404" s="9" t="s">
        <v>1569</v>
      </c>
      <c r="H404" s="9" t="s">
        <v>1569</v>
      </c>
      <c r="I404" s="8" t="s">
        <v>49</v>
      </c>
      <c r="J404" s="8" t="s">
        <v>56</v>
      </c>
    </row>
    <row r="405" spans="1:10" ht="39" customHeight="1">
      <c r="A405" s="8">
        <v>405</v>
      </c>
      <c r="B405" s="9" t="s">
        <v>1521</v>
      </c>
      <c r="C405" s="8" t="s">
        <v>1570</v>
      </c>
      <c r="D405" s="9" t="s">
        <v>1571</v>
      </c>
      <c r="E405" s="9" t="s">
        <v>1572</v>
      </c>
      <c r="F405" s="9" t="s">
        <v>123</v>
      </c>
      <c r="G405" s="9" t="s">
        <v>1573</v>
      </c>
      <c r="H405" s="9" t="s">
        <v>1573</v>
      </c>
      <c r="I405" s="8" t="s">
        <v>49</v>
      </c>
      <c r="J405" s="8" t="s">
        <v>73</v>
      </c>
    </row>
    <row r="406" spans="1:10" ht="39" customHeight="1">
      <c r="A406" s="8">
        <v>406</v>
      </c>
      <c r="B406" s="9" t="s">
        <v>1521</v>
      </c>
      <c r="C406" s="8" t="s">
        <v>1574</v>
      </c>
      <c r="D406" s="9" t="s">
        <v>1575</v>
      </c>
      <c r="E406" s="9" t="s">
        <v>1576</v>
      </c>
      <c r="F406" s="9" t="s">
        <v>54</v>
      </c>
      <c r="G406" s="9" t="s">
        <v>1577</v>
      </c>
      <c r="H406" s="9" t="s">
        <v>1577</v>
      </c>
      <c r="I406" s="8" t="s">
        <v>49</v>
      </c>
      <c r="J406" s="8" t="s">
        <v>56</v>
      </c>
    </row>
    <row r="407" spans="1:10" ht="39" customHeight="1">
      <c r="A407" s="8">
        <v>407</v>
      </c>
      <c r="B407" s="9" t="s">
        <v>1521</v>
      </c>
      <c r="C407" s="8" t="s">
        <v>1578</v>
      </c>
      <c r="D407" s="9" t="s">
        <v>1579</v>
      </c>
      <c r="E407" s="9" t="s">
        <v>1580</v>
      </c>
      <c r="F407" s="9" t="s">
        <v>54</v>
      </c>
      <c r="G407" s="9" t="s">
        <v>1581</v>
      </c>
      <c r="H407" s="9" t="s">
        <v>1581</v>
      </c>
      <c r="I407" s="8" t="s">
        <v>49</v>
      </c>
      <c r="J407" s="8" t="s">
        <v>56</v>
      </c>
    </row>
    <row r="408" spans="1:10" ht="39" customHeight="1">
      <c r="A408" s="8">
        <v>408</v>
      </c>
      <c r="B408" s="9" t="s">
        <v>1521</v>
      </c>
      <c r="C408" s="8" t="s">
        <v>1582</v>
      </c>
      <c r="D408" s="9" t="s">
        <v>1583</v>
      </c>
      <c r="E408" s="9" t="s">
        <v>1584</v>
      </c>
      <c r="F408" s="9" t="s">
        <v>123</v>
      </c>
      <c r="G408" s="9" t="s">
        <v>1585</v>
      </c>
      <c r="H408" s="9" t="s">
        <v>1585</v>
      </c>
      <c r="I408" s="8" t="s">
        <v>49</v>
      </c>
      <c r="J408" s="8" t="s">
        <v>73</v>
      </c>
    </row>
    <row r="409" spans="1:10" ht="39" customHeight="1">
      <c r="A409" s="8">
        <v>409</v>
      </c>
      <c r="B409" s="9" t="s">
        <v>1521</v>
      </c>
      <c r="C409" s="8" t="s">
        <v>1586</v>
      </c>
      <c r="D409" s="9" t="s">
        <v>1587</v>
      </c>
      <c r="E409" s="9" t="s">
        <v>1588</v>
      </c>
      <c r="F409" s="9" t="s">
        <v>54</v>
      </c>
      <c r="G409" s="9" t="s">
        <v>1589</v>
      </c>
      <c r="H409" s="9" t="s">
        <v>1589</v>
      </c>
      <c r="I409" s="8" t="s">
        <v>49</v>
      </c>
      <c r="J409" s="8" t="s">
        <v>73</v>
      </c>
    </row>
    <row r="410" spans="1:10" ht="26.25" customHeight="1">
      <c r="A410" s="8">
        <v>410</v>
      </c>
      <c r="B410" s="9" t="s">
        <v>1521</v>
      </c>
      <c r="C410" s="8" t="s">
        <v>1590</v>
      </c>
      <c r="D410" s="9" t="s">
        <v>1591</v>
      </c>
      <c r="E410" s="9" t="s">
        <v>1592</v>
      </c>
      <c r="F410" s="9" t="s">
        <v>54</v>
      </c>
      <c r="G410" s="9" t="s">
        <v>1593</v>
      </c>
      <c r="H410" s="9" t="s">
        <v>1593</v>
      </c>
      <c r="I410" s="8" t="s">
        <v>49</v>
      </c>
      <c r="J410" s="8" t="s">
        <v>73</v>
      </c>
    </row>
    <row r="411" spans="1:10" ht="39" customHeight="1">
      <c r="A411" s="8">
        <v>411</v>
      </c>
      <c r="B411" s="9" t="s">
        <v>1521</v>
      </c>
      <c r="C411" s="8" t="s">
        <v>1594</v>
      </c>
      <c r="D411" s="9" t="s">
        <v>1595</v>
      </c>
      <c r="E411" s="9" t="s">
        <v>1596</v>
      </c>
      <c r="F411" s="9" t="s">
        <v>93</v>
      </c>
      <c r="G411" s="9" t="s">
        <v>1597</v>
      </c>
      <c r="H411" s="9" t="s">
        <v>1597</v>
      </c>
      <c r="I411" s="8" t="s">
        <v>49</v>
      </c>
      <c r="J411" s="8" t="s">
        <v>56</v>
      </c>
    </row>
    <row r="412" spans="1:10" ht="39" customHeight="1">
      <c r="A412" s="8">
        <v>412</v>
      </c>
      <c r="B412" s="9" t="s">
        <v>1521</v>
      </c>
      <c r="C412" s="8" t="s">
        <v>1598</v>
      </c>
      <c r="D412" s="9" t="s">
        <v>1599</v>
      </c>
      <c r="E412" s="9" t="s">
        <v>1600</v>
      </c>
      <c r="F412" s="9" t="s">
        <v>54</v>
      </c>
      <c r="G412" s="9" t="s">
        <v>1601</v>
      </c>
      <c r="H412" s="9" t="s">
        <v>1601</v>
      </c>
      <c r="I412" s="8" t="s">
        <v>49</v>
      </c>
      <c r="J412" s="8" t="s">
        <v>56</v>
      </c>
    </row>
    <row r="413" spans="1:10" ht="39" customHeight="1">
      <c r="A413" s="8">
        <v>413</v>
      </c>
      <c r="B413" s="9" t="s">
        <v>1602</v>
      </c>
      <c r="C413" s="8" t="s">
        <v>1603</v>
      </c>
      <c r="D413" s="9" t="s">
        <v>1604</v>
      </c>
      <c r="E413" s="9" t="s">
        <v>1605</v>
      </c>
      <c r="F413" s="9" t="s">
        <v>123</v>
      </c>
      <c r="G413" s="9" t="s">
        <v>1606</v>
      </c>
      <c r="H413" s="9" t="s">
        <v>1606</v>
      </c>
      <c r="I413" s="8" t="s">
        <v>49</v>
      </c>
      <c r="J413" s="8" t="s">
        <v>50</v>
      </c>
    </row>
    <row r="414" spans="1:10" ht="39" customHeight="1">
      <c r="A414" s="8">
        <v>414</v>
      </c>
      <c r="B414" s="9" t="s">
        <v>1602</v>
      </c>
      <c r="C414" s="8" t="s">
        <v>1607</v>
      </c>
      <c r="D414" s="9" t="s">
        <v>1608</v>
      </c>
      <c r="E414" s="9" t="s">
        <v>1609</v>
      </c>
      <c r="F414" s="9" t="s">
        <v>54</v>
      </c>
      <c r="G414" s="9" t="s">
        <v>1610</v>
      </c>
      <c r="H414" s="9" t="s">
        <v>1610</v>
      </c>
      <c r="I414" s="8" t="s">
        <v>49</v>
      </c>
      <c r="J414" s="8" t="s">
        <v>73</v>
      </c>
    </row>
    <row r="415" spans="1:10" ht="26.25" customHeight="1">
      <c r="A415" s="8">
        <v>415</v>
      </c>
      <c r="B415" s="9" t="s">
        <v>1602</v>
      </c>
      <c r="C415" s="8" t="s">
        <v>1611</v>
      </c>
      <c r="D415" s="9" t="s">
        <v>1612</v>
      </c>
      <c r="E415" s="9" t="s">
        <v>1613</v>
      </c>
      <c r="F415" s="9" t="s">
        <v>54</v>
      </c>
      <c r="G415" s="9" t="s">
        <v>1614</v>
      </c>
      <c r="H415" s="9" t="s">
        <v>1614</v>
      </c>
      <c r="I415" s="8" t="s">
        <v>49</v>
      </c>
      <c r="J415" s="8" t="s">
        <v>73</v>
      </c>
    </row>
    <row r="416" spans="1:10" ht="39" customHeight="1">
      <c r="A416" s="8">
        <v>416</v>
      </c>
      <c r="B416" s="9" t="s">
        <v>1602</v>
      </c>
      <c r="C416" s="8" t="s">
        <v>1615</v>
      </c>
      <c r="D416" s="9" t="s">
        <v>1616</v>
      </c>
      <c r="E416" s="9" t="s">
        <v>1617</v>
      </c>
      <c r="F416" s="9" t="s">
        <v>93</v>
      </c>
      <c r="G416" s="9" t="s">
        <v>1618</v>
      </c>
      <c r="H416" s="9" t="s">
        <v>1618</v>
      </c>
      <c r="I416" s="8" t="s">
        <v>49</v>
      </c>
      <c r="J416" s="8" t="s">
        <v>73</v>
      </c>
    </row>
    <row r="417" spans="1:10" ht="26.25" customHeight="1">
      <c r="A417" s="8">
        <v>417</v>
      </c>
      <c r="B417" s="9" t="s">
        <v>1602</v>
      </c>
      <c r="C417" s="8" t="s">
        <v>1619</v>
      </c>
      <c r="D417" s="9" t="s">
        <v>1620</v>
      </c>
      <c r="E417" s="9" t="s">
        <v>1621</v>
      </c>
      <c r="F417" s="9" t="s">
        <v>54</v>
      </c>
      <c r="G417" s="9" t="s">
        <v>1622</v>
      </c>
      <c r="H417" s="9" t="s">
        <v>1622</v>
      </c>
      <c r="I417" s="8" t="s">
        <v>49</v>
      </c>
      <c r="J417" s="8" t="s">
        <v>56</v>
      </c>
    </row>
    <row r="418" spans="1:10" ht="39" customHeight="1">
      <c r="A418" s="8">
        <v>418</v>
      </c>
      <c r="B418" s="9" t="s">
        <v>1602</v>
      </c>
      <c r="C418" s="8" t="s">
        <v>1623</v>
      </c>
      <c r="D418" s="9" t="s">
        <v>1624</v>
      </c>
      <c r="E418" s="9" t="s">
        <v>1625</v>
      </c>
      <c r="F418" s="9" t="s">
        <v>93</v>
      </c>
      <c r="G418" s="9" t="s">
        <v>1626</v>
      </c>
      <c r="H418" s="9" t="s">
        <v>1626</v>
      </c>
      <c r="I418" s="8" t="s">
        <v>49</v>
      </c>
      <c r="J418" s="8" t="s">
        <v>73</v>
      </c>
    </row>
    <row r="419" spans="1:10" ht="26.25" customHeight="1">
      <c r="A419" s="8">
        <v>419</v>
      </c>
      <c r="B419" s="9" t="s">
        <v>1602</v>
      </c>
      <c r="C419" s="8" t="s">
        <v>1627</v>
      </c>
      <c r="D419" s="9" t="s">
        <v>1628</v>
      </c>
      <c r="E419" s="9" t="s">
        <v>1629</v>
      </c>
      <c r="F419" s="9" t="s">
        <v>54</v>
      </c>
      <c r="G419" s="9" t="s">
        <v>1630</v>
      </c>
      <c r="H419" s="9" t="s">
        <v>1630</v>
      </c>
      <c r="I419" s="8" t="s">
        <v>49</v>
      </c>
      <c r="J419" s="8" t="s">
        <v>56</v>
      </c>
    </row>
    <row r="420" spans="1:10" ht="26.25" customHeight="1">
      <c r="A420" s="8">
        <v>420</v>
      </c>
      <c r="B420" s="9" t="s">
        <v>1602</v>
      </c>
      <c r="C420" s="8" t="s">
        <v>1631</v>
      </c>
      <c r="D420" s="9" t="s">
        <v>1632</v>
      </c>
      <c r="E420" s="9" t="s">
        <v>1633</v>
      </c>
      <c r="F420" s="9" t="s">
        <v>93</v>
      </c>
      <c r="G420" s="9" t="s">
        <v>1634</v>
      </c>
      <c r="H420" s="9" t="s">
        <v>1634</v>
      </c>
      <c r="I420" s="8" t="s">
        <v>49</v>
      </c>
      <c r="J420" s="8" t="s">
        <v>73</v>
      </c>
    </row>
    <row r="421" spans="1:10" ht="39" customHeight="1">
      <c r="A421" s="8">
        <v>421</v>
      </c>
      <c r="B421" s="9" t="s">
        <v>1602</v>
      </c>
      <c r="C421" s="8" t="s">
        <v>1635</v>
      </c>
      <c r="D421" s="9" t="s">
        <v>1636</v>
      </c>
      <c r="E421" s="9" t="s">
        <v>1637</v>
      </c>
      <c r="F421" s="9" t="s">
        <v>93</v>
      </c>
      <c r="G421" s="9" t="s">
        <v>1638</v>
      </c>
      <c r="H421" s="9" t="s">
        <v>1638</v>
      </c>
      <c r="I421" s="8" t="s">
        <v>49</v>
      </c>
      <c r="J421" s="8" t="s">
        <v>73</v>
      </c>
    </row>
    <row r="422" spans="1:10" ht="39" customHeight="1">
      <c r="A422" s="8">
        <v>422</v>
      </c>
      <c r="B422" s="9" t="s">
        <v>1602</v>
      </c>
      <c r="C422" s="8" t="s">
        <v>1639</v>
      </c>
      <c r="D422" s="9" t="s">
        <v>1640</v>
      </c>
      <c r="E422" s="9" t="s">
        <v>1641</v>
      </c>
      <c r="F422" s="9" t="s">
        <v>54</v>
      </c>
      <c r="G422" s="9" t="s">
        <v>1642</v>
      </c>
      <c r="H422" s="9" t="s">
        <v>1642</v>
      </c>
      <c r="I422" s="8" t="s">
        <v>49</v>
      </c>
      <c r="J422" s="8" t="s">
        <v>50</v>
      </c>
    </row>
    <row r="423" spans="1:10" ht="39" customHeight="1">
      <c r="A423" s="8">
        <v>423</v>
      </c>
      <c r="B423" s="9" t="s">
        <v>1602</v>
      </c>
      <c r="C423" s="8" t="s">
        <v>1643</v>
      </c>
      <c r="D423" s="9" t="s">
        <v>1644</v>
      </c>
      <c r="E423" s="9" t="s">
        <v>1645</v>
      </c>
      <c r="F423" s="9" t="s">
        <v>54</v>
      </c>
      <c r="G423" s="9" t="s">
        <v>1646</v>
      </c>
      <c r="H423" s="9" t="s">
        <v>1646</v>
      </c>
      <c r="I423" s="8" t="s">
        <v>49</v>
      </c>
      <c r="J423" s="8" t="s">
        <v>56</v>
      </c>
    </row>
    <row r="424" spans="1:10" ht="26.25" customHeight="1">
      <c r="A424" s="8">
        <v>424</v>
      </c>
      <c r="B424" s="9" t="s">
        <v>1602</v>
      </c>
      <c r="C424" s="8" t="s">
        <v>1647</v>
      </c>
      <c r="D424" s="9" t="s">
        <v>1648</v>
      </c>
      <c r="E424" s="9" t="s">
        <v>1649</v>
      </c>
      <c r="F424" s="9" t="s">
        <v>54</v>
      </c>
      <c r="G424" s="9" t="s">
        <v>1650</v>
      </c>
      <c r="H424" s="9" t="s">
        <v>1650</v>
      </c>
      <c r="I424" s="8" t="s">
        <v>49</v>
      </c>
      <c r="J424" s="8" t="s">
        <v>56</v>
      </c>
    </row>
    <row r="425" spans="1:10" ht="39" customHeight="1">
      <c r="A425" s="8">
        <v>425</v>
      </c>
      <c r="B425" s="9" t="s">
        <v>1602</v>
      </c>
      <c r="C425" s="8" t="s">
        <v>1651</v>
      </c>
      <c r="D425" s="9" t="s">
        <v>1652</v>
      </c>
      <c r="E425" s="9" t="s">
        <v>1653</v>
      </c>
      <c r="F425" s="9" t="s">
        <v>93</v>
      </c>
      <c r="G425" s="9" t="s">
        <v>1654</v>
      </c>
      <c r="H425" s="9" t="s">
        <v>1654</v>
      </c>
      <c r="I425" s="8" t="s">
        <v>49</v>
      </c>
      <c r="J425" s="8" t="s">
        <v>73</v>
      </c>
    </row>
    <row r="426" spans="1:10" ht="39" customHeight="1">
      <c r="A426" s="8">
        <v>426</v>
      </c>
      <c r="B426" s="9" t="s">
        <v>1602</v>
      </c>
      <c r="C426" s="8" t="s">
        <v>1655</v>
      </c>
      <c r="D426" s="9" t="s">
        <v>1656</v>
      </c>
      <c r="E426" s="9" t="s">
        <v>1657</v>
      </c>
      <c r="F426" s="9" t="s">
        <v>54</v>
      </c>
      <c r="G426" s="9" t="s">
        <v>1658</v>
      </c>
      <c r="H426" s="9" t="s">
        <v>1658</v>
      </c>
      <c r="I426" s="8" t="s">
        <v>49</v>
      </c>
      <c r="J426" s="8" t="s">
        <v>56</v>
      </c>
    </row>
    <row r="427" spans="1:10" ht="26.25" customHeight="1">
      <c r="A427" s="8">
        <v>427</v>
      </c>
      <c r="B427" s="9" t="s">
        <v>1602</v>
      </c>
      <c r="C427" s="8" t="s">
        <v>1659</v>
      </c>
      <c r="D427" s="9" t="s">
        <v>1660</v>
      </c>
      <c r="E427" s="9" t="s">
        <v>1661</v>
      </c>
      <c r="F427" s="9" t="s">
        <v>54</v>
      </c>
      <c r="G427" s="9" t="s">
        <v>1662</v>
      </c>
      <c r="H427" s="9" t="s">
        <v>1662</v>
      </c>
      <c r="I427" s="8" t="s">
        <v>49</v>
      </c>
      <c r="J427" s="8" t="s">
        <v>73</v>
      </c>
    </row>
    <row r="428" spans="1:10" ht="26.25" customHeight="1">
      <c r="A428" s="8">
        <v>428</v>
      </c>
      <c r="B428" s="9" t="s">
        <v>1663</v>
      </c>
      <c r="C428" s="8" t="s">
        <v>1664</v>
      </c>
      <c r="D428" s="9" t="s">
        <v>1665</v>
      </c>
      <c r="E428" s="9" t="s">
        <v>1666</v>
      </c>
      <c r="F428" s="9" t="s">
        <v>1667</v>
      </c>
      <c r="G428" s="9" t="s">
        <v>1668</v>
      </c>
      <c r="H428" s="9" t="s">
        <v>1668</v>
      </c>
      <c r="I428" s="8" t="s">
        <v>49</v>
      </c>
      <c r="J428" s="8" t="s">
        <v>73</v>
      </c>
    </row>
    <row r="429" spans="1:10" ht="26.25" customHeight="1">
      <c r="A429" s="8">
        <v>429</v>
      </c>
      <c r="B429" s="9" t="s">
        <v>1663</v>
      </c>
      <c r="C429" s="8" t="s">
        <v>1669</v>
      </c>
      <c r="D429" s="9" t="s">
        <v>1670</v>
      </c>
      <c r="E429" s="9" t="s">
        <v>1671</v>
      </c>
      <c r="F429" s="9" t="s">
        <v>1667</v>
      </c>
      <c r="G429" s="9" t="s">
        <v>1672</v>
      </c>
      <c r="H429" s="9" t="s">
        <v>1672</v>
      </c>
      <c r="I429" s="8" t="s">
        <v>49</v>
      </c>
      <c r="J429" s="8" t="s">
        <v>73</v>
      </c>
    </row>
    <row r="430" spans="1:10" ht="26.25" customHeight="1">
      <c r="A430" s="8">
        <v>430</v>
      </c>
      <c r="B430" s="9" t="s">
        <v>1663</v>
      </c>
      <c r="C430" s="8" t="s">
        <v>1673</v>
      </c>
      <c r="D430" s="9" t="s">
        <v>1674</v>
      </c>
      <c r="E430" s="9" t="s">
        <v>1675</v>
      </c>
      <c r="F430" s="9" t="s">
        <v>1667</v>
      </c>
      <c r="G430" s="9" t="s">
        <v>1676</v>
      </c>
      <c r="H430" s="9" t="s">
        <v>1676</v>
      </c>
      <c r="I430" s="8" t="s">
        <v>49</v>
      </c>
      <c r="J430" s="8" t="s">
        <v>73</v>
      </c>
    </row>
    <row r="431" spans="1:10" ht="26.25" customHeight="1">
      <c r="A431" s="8">
        <v>431</v>
      </c>
      <c r="B431" s="9" t="s">
        <v>1663</v>
      </c>
      <c r="C431" s="8" t="s">
        <v>1677</v>
      </c>
      <c r="D431" s="9" t="s">
        <v>1678</v>
      </c>
      <c r="E431" s="9" t="s">
        <v>1679</v>
      </c>
      <c r="F431" s="9" t="s">
        <v>1667</v>
      </c>
      <c r="G431" s="9" t="s">
        <v>1680</v>
      </c>
      <c r="H431" s="9" t="s">
        <v>1680</v>
      </c>
      <c r="I431" s="8" t="s">
        <v>49</v>
      </c>
      <c r="J431" s="8" t="s">
        <v>73</v>
      </c>
    </row>
    <row r="432" spans="1:10" ht="26.25" customHeight="1">
      <c r="A432" s="8">
        <v>432</v>
      </c>
      <c r="B432" s="9" t="s">
        <v>1663</v>
      </c>
      <c r="C432" s="8" t="s">
        <v>1681</v>
      </c>
      <c r="D432" s="9" t="s">
        <v>1682</v>
      </c>
      <c r="E432" s="9" t="s">
        <v>1683</v>
      </c>
      <c r="F432" s="9" t="s">
        <v>1667</v>
      </c>
      <c r="G432" s="9" t="s">
        <v>1684</v>
      </c>
      <c r="H432" s="9" t="s">
        <v>1684</v>
      </c>
      <c r="I432" s="8" t="s">
        <v>49</v>
      </c>
      <c r="J432" s="8" t="s">
        <v>56</v>
      </c>
    </row>
    <row r="433" spans="1:10" ht="26.25" customHeight="1">
      <c r="A433" s="8">
        <v>433</v>
      </c>
      <c r="B433" s="9" t="s">
        <v>1663</v>
      </c>
      <c r="C433" s="8" t="s">
        <v>1685</v>
      </c>
      <c r="D433" s="9" t="s">
        <v>1686</v>
      </c>
      <c r="E433" s="9" t="s">
        <v>1687</v>
      </c>
      <c r="F433" s="9" t="s">
        <v>1667</v>
      </c>
      <c r="G433" s="9" t="s">
        <v>1688</v>
      </c>
      <c r="H433" s="9" t="s">
        <v>1688</v>
      </c>
      <c r="I433" s="8" t="s">
        <v>49</v>
      </c>
      <c r="J433" s="8" t="s">
        <v>73</v>
      </c>
    </row>
    <row r="434" spans="1:10" ht="26.25" customHeight="1">
      <c r="A434" s="8">
        <v>434</v>
      </c>
      <c r="B434" s="9" t="s">
        <v>1663</v>
      </c>
      <c r="C434" s="8" t="s">
        <v>1689</v>
      </c>
      <c r="D434" s="9" t="s">
        <v>1690</v>
      </c>
      <c r="E434" s="9" t="s">
        <v>1691</v>
      </c>
      <c r="F434" s="9" t="s">
        <v>1667</v>
      </c>
      <c r="G434" s="9" t="s">
        <v>1692</v>
      </c>
      <c r="H434" s="9" t="s">
        <v>1692</v>
      </c>
      <c r="I434" s="8" t="s">
        <v>49</v>
      </c>
      <c r="J434" s="8" t="s">
        <v>73</v>
      </c>
    </row>
    <row r="435" spans="1:10" ht="26.25" customHeight="1">
      <c r="A435" s="8">
        <v>435</v>
      </c>
      <c r="B435" s="9" t="s">
        <v>1663</v>
      </c>
      <c r="C435" s="8" t="s">
        <v>1693</v>
      </c>
      <c r="D435" s="9" t="s">
        <v>1694</v>
      </c>
      <c r="E435" s="9" t="s">
        <v>1695</v>
      </c>
      <c r="F435" s="9" t="s">
        <v>1696</v>
      </c>
      <c r="G435" s="9" t="s">
        <v>1697</v>
      </c>
      <c r="H435" s="9" t="s">
        <v>1697</v>
      </c>
      <c r="I435" s="8" t="s">
        <v>49</v>
      </c>
      <c r="J435" s="8" t="s">
        <v>56</v>
      </c>
    </row>
    <row r="436" spans="1:10" ht="26.25" customHeight="1">
      <c r="A436" s="8">
        <v>436</v>
      </c>
      <c r="B436" s="9" t="s">
        <v>1663</v>
      </c>
      <c r="C436" s="8" t="s">
        <v>1698</v>
      </c>
      <c r="D436" s="9" t="s">
        <v>1699</v>
      </c>
      <c r="E436" s="9" t="s">
        <v>1700</v>
      </c>
      <c r="F436" s="9" t="s">
        <v>1667</v>
      </c>
      <c r="G436" s="9" t="s">
        <v>1701</v>
      </c>
      <c r="H436" s="9" t="s">
        <v>1701</v>
      </c>
      <c r="I436" s="8" t="s">
        <v>49</v>
      </c>
      <c r="J436" s="8" t="s">
        <v>56</v>
      </c>
    </row>
    <row r="437" spans="1:10" ht="26.25" customHeight="1">
      <c r="A437" s="8">
        <v>437</v>
      </c>
      <c r="B437" s="9" t="s">
        <v>1663</v>
      </c>
      <c r="C437" s="8" t="s">
        <v>1702</v>
      </c>
      <c r="D437" s="9" t="s">
        <v>1703</v>
      </c>
      <c r="E437" s="9" t="s">
        <v>1704</v>
      </c>
      <c r="F437" s="9" t="s">
        <v>1667</v>
      </c>
      <c r="G437" s="9" t="s">
        <v>1705</v>
      </c>
      <c r="H437" s="9" t="s">
        <v>1705</v>
      </c>
      <c r="I437" s="8" t="s">
        <v>49</v>
      </c>
      <c r="J437" s="8" t="s">
        <v>56</v>
      </c>
    </row>
    <row r="438" spans="1:10" ht="26.25" customHeight="1">
      <c r="A438" s="8">
        <v>438</v>
      </c>
      <c r="B438" s="9" t="s">
        <v>1706</v>
      </c>
      <c r="C438" s="8" t="s">
        <v>1707</v>
      </c>
      <c r="D438" s="9" t="s">
        <v>1708</v>
      </c>
      <c r="E438" s="9" t="s">
        <v>1709</v>
      </c>
      <c r="F438" s="9" t="s">
        <v>1710</v>
      </c>
      <c r="G438" s="9" t="s">
        <v>1711</v>
      </c>
      <c r="H438" s="9" t="s">
        <v>1711</v>
      </c>
      <c r="I438" s="8" t="s">
        <v>49</v>
      </c>
      <c r="J438" s="8" t="s">
        <v>50</v>
      </c>
    </row>
    <row r="439" spans="1:10" ht="26.25" customHeight="1">
      <c r="A439" s="8">
        <v>439</v>
      </c>
      <c r="B439" s="9" t="s">
        <v>1706</v>
      </c>
      <c r="C439" s="8" t="s">
        <v>1712</v>
      </c>
      <c r="D439" s="9" t="s">
        <v>1713</v>
      </c>
      <c r="E439" s="9" t="s">
        <v>1714</v>
      </c>
      <c r="F439" s="9" t="s">
        <v>1710</v>
      </c>
      <c r="G439" s="9" t="s">
        <v>1715</v>
      </c>
      <c r="H439" s="9" t="s">
        <v>1715</v>
      </c>
      <c r="I439" s="8" t="s">
        <v>49</v>
      </c>
      <c r="J439" s="8" t="s">
        <v>50</v>
      </c>
    </row>
    <row r="440" spans="1:10" ht="26.25" customHeight="1">
      <c r="A440" s="8">
        <v>440</v>
      </c>
      <c r="B440" s="9" t="s">
        <v>1706</v>
      </c>
      <c r="C440" s="8" t="s">
        <v>1716</v>
      </c>
      <c r="D440" s="9" t="s">
        <v>1717</v>
      </c>
      <c r="E440" s="9" t="s">
        <v>1718</v>
      </c>
      <c r="F440" s="9" t="s">
        <v>1710</v>
      </c>
      <c r="G440" s="9" t="s">
        <v>1719</v>
      </c>
      <c r="H440" s="9" t="s">
        <v>1719</v>
      </c>
      <c r="I440" s="8" t="s">
        <v>49</v>
      </c>
      <c r="J440" s="8" t="s">
        <v>50</v>
      </c>
    </row>
    <row r="441" spans="1:10" ht="26.25" customHeight="1">
      <c r="A441" s="8">
        <v>441</v>
      </c>
      <c r="B441" s="9" t="s">
        <v>1706</v>
      </c>
      <c r="C441" s="8" t="s">
        <v>1720</v>
      </c>
      <c r="D441" s="9" t="s">
        <v>1721</v>
      </c>
      <c r="E441" s="9" t="s">
        <v>1722</v>
      </c>
      <c r="F441" s="9" t="s">
        <v>1710</v>
      </c>
      <c r="G441" s="9" t="s">
        <v>1723</v>
      </c>
      <c r="H441" s="9" t="s">
        <v>1723</v>
      </c>
      <c r="I441" s="8" t="s">
        <v>49</v>
      </c>
      <c r="J441" s="8" t="s">
        <v>50</v>
      </c>
    </row>
    <row r="442" spans="1:10" ht="26.25" customHeight="1">
      <c r="A442" s="8">
        <v>442</v>
      </c>
      <c r="B442" s="9" t="s">
        <v>1706</v>
      </c>
      <c r="C442" s="8" t="s">
        <v>1724</v>
      </c>
      <c r="D442" s="9" t="s">
        <v>1725</v>
      </c>
      <c r="E442" s="9" t="s">
        <v>1726</v>
      </c>
      <c r="F442" s="9" t="s">
        <v>1727</v>
      </c>
      <c r="G442" s="9" t="s">
        <v>1728</v>
      </c>
      <c r="H442" s="9" t="s">
        <v>1728</v>
      </c>
      <c r="I442" s="8" t="s">
        <v>49</v>
      </c>
      <c r="J442" s="8" t="s">
        <v>50</v>
      </c>
    </row>
    <row r="443" spans="1:10" ht="26.25" customHeight="1">
      <c r="A443" s="8">
        <v>443</v>
      </c>
      <c r="B443" s="9" t="s">
        <v>1706</v>
      </c>
      <c r="C443" s="8" t="s">
        <v>1729</v>
      </c>
      <c r="D443" s="9" t="s">
        <v>1730</v>
      </c>
      <c r="E443" s="9" t="s">
        <v>1731</v>
      </c>
      <c r="F443" s="9" t="s">
        <v>1710</v>
      </c>
      <c r="G443" s="9" t="s">
        <v>1732</v>
      </c>
      <c r="H443" s="9" t="s">
        <v>1732</v>
      </c>
      <c r="I443" s="8" t="s">
        <v>49</v>
      </c>
      <c r="J443" s="8" t="s">
        <v>73</v>
      </c>
    </row>
    <row r="444" spans="1:10" ht="26.25" customHeight="1">
      <c r="A444" s="8">
        <v>444</v>
      </c>
      <c r="B444" s="9" t="s">
        <v>1706</v>
      </c>
      <c r="C444" s="8" t="s">
        <v>1733</v>
      </c>
      <c r="D444" s="9" t="s">
        <v>1734</v>
      </c>
      <c r="E444" s="9" t="s">
        <v>1735</v>
      </c>
      <c r="F444" s="9" t="s">
        <v>1710</v>
      </c>
      <c r="G444" s="9" t="s">
        <v>1736</v>
      </c>
      <c r="H444" s="9" t="s">
        <v>1736</v>
      </c>
      <c r="I444" s="8" t="s">
        <v>49</v>
      </c>
      <c r="J444" s="8" t="s">
        <v>73</v>
      </c>
    </row>
    <row r="445" spans="1:10" ht="26.25" customHeight="1">
      <c r="A445" s="8">
        <v>445</v>
      </c>
      <c r="B445" s="9" t="s">
        <v>1706</v>
      </c>
      <c r="C445" s="8" t="s">
        <v>1737</v>
      </c>
      <c r="D445" s="9" t="s">
        <v>1738</v>
      </c>
      <c r="E445" s="9" t="s">
        <v>1739</v>
      </c>
      <c r="F445" s="9" t="s">
        <v>1710</v>
      </c>
      <c r="G445" s="9" t="s">
        <v>1740</v>
      </c>
      <c r="H445" s="9" t="s">
        <v>1740</v>
      </c>
      <c r="I445" s="8" t="s">
        <v>49</v>
      </c>
      <c r="J445" s="8" t="s">
        <v>73</v>
      </c>
    </row>
    <row r="446" spans="1:10" ht="26.25" customHeight="1">
      <c r="A446" s="8">
        <v>446</v>
      </c>
      <c r="B446" s="9" t="s">
        <v>1706</v>
      </c>
      <c r="C446" s="8" t="s">
        <v>1741</v>
      </c>
      <c r="D446" s="9" t="s">
        <v>1742</v>
      </c>
      <c r="E446" s="9" t="s">
        <v>1743</v>
      </c>
      <c r="F446" s="9" t="s">
        <v>1710</v>
      </c>
      <c r="G446" s="9" t="s">
        <v>1744</v>
      </c>
      <c r="H446" s="9" t="s">
        <v>1744</v>
      </c>
      <c r="I446" s="8" t="s">
        <v>49</v>
      </c>
      <c r="J446" s="8" t="s">
        <v>56</v>
      </c>
    </row>
    <row r="447" spans="1:10" ht="39" customHeight="1">
      <c r="A447" s="8">
        <v>447</v>
      </c>
      <c r="B447" s="9" t="s">
        <v>1706</v>
      </c>
      <c r="C447" s="8" t="s">
        <v>1745</v>
      </c>
      <c r="D447" s="9" t="s">
        <v>1746</v>
      </c>
      <c r="E447" s="9" t="s">
        <v>1747</v>
      </c>
      <c r="F447" s="9" t="s">
        <v>1710</v>
      </c>
      <c r="G447" s="9" t="s">
        <v>1748</v>
      </c>
      <c r="H447" s="9" t="s">
        <v>1748</v>
      </c>
      <c r="I447" s="8" t="s">
        <v>49</v>
      </c>
      <c r="J447" s="8" t="s">
        <v>73</v>
      </c>
    </row>
  </sheetData>
  <phoneticPr fontId="12" type="noConversion"/>
  <conditionalFormatting sqref="I1:I446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"Not Executed"</formula>
    </cfRule>
  </conditionalFormatting>
  <dataValidations count="2">
    <dataValidation type="list" allowBlank="1" sqref="I1:I13 I14:I446" xr:uid="{00000000-0002-0000-0100-000000000000}">
      <formula1>"Pass,Fail,Blocked,Not Executed"</formula1>
      <formula2>0</formula2>
    </dataValidation>
    <dataValidation type="list" allowBlank="1" sqref="J1:J13 J14:J446" xr:uid="{00000000-0002-0000-01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44"/>
  <sheetViews>
    <sheetView showGridLines="0" tabSelected="1" zoomScaleNormal="100" workbookViewId="0"/>
  </sheetViews>
  <sheetFormatPr defaultColWidth="8.6640625" defaultRowHeight="14.4"/>
  <cols>
    <col min="1" max="1" width="4" customWidth="1"/>
    <col min="2" max="2" width="38" customWidth="1"/>
    <col min="3" max="3" width="16" customWidth="1"/>
  </cols>
  <sheetData>
    <row r="2" spans="2:3" ht="21" customHeight="1">
      <c r="B2" s="10" t="s">
        <v>1749</v>
      </c>
    </row>
    <row r="3" spans="2:3">
      <c r="B3" s="11" t="s">
        <v>19</v>
      </c>
    </row>
    <row r="4" spans="2:3">
      <c r="B4" s="6" t="s">
        <v>1750</v>
      </c>
    </row>
    <row r="5" spans="2:3">
      <c r="B5" s="6" t="s">
        <v>1751</v>
      </c>
    </row>
    <row r="7" spans="2:3">
      <c r="B7" s="7" t="s">
        <v>1752</v>
      </c>
      <c r="C7" s="7" t="s">
        <v>1753</v>
      </c>
    </row>
    <row r="8" spans="2:3">
      <c r="B8" s="12" t="s">
        <v>9</v>
      </c>
      <c r="C8" s="12">
        <f>COUNTA('Manual Test Cases'!C1:C446)</f>
        <v>446</v>
      </c>
    </row>
    <row r="9" spans="2:3">
      <c r="B9" s="12" t="s">
        <v>29</v>
      </c>
      <c r="C9" s="12">
        <f>COUNTIF('Manual Test Cases'!I1:I446,"Pass")</f>
        <v>445</v>
      </c>
    </row>
    <row r="10" spans="2:3">
      <c r="B10" s="12" t="s">
        <v>30</v>
      </c>
      <c r="C10" s="12">
        <f>COUNTIF('Manual Test Cases'!I1:I446,"Fail")</f>
        <v>0</v>
      </c>
    </row>
    <row r="11" spans="2:3">
      <c r="B11" s="12" t="s">
        <v>32</v>
      </c>
      <c r="C11" s="12">
        <f>COUNTIF('Manual Test Cases'!I1:I446,"Blocked")</f>
        <v>0</v>
      </c>
    </row>
    <row r="12" spans="2:3">
      <c r="B12" s="12" t="s">
        <v>31</v>
      </c>
      <c r="C12" s="12">
        <f>COUNTIF('Manual Test Cases'!I1:I446,"Not Executed")</f>
        <v>0</v>
      </c>
    </row>
    <row r="13" spans="2:3">
      <c r="B13" s="12" t="s">
        <v>1754</v>
      </c>
      <c r="C13" s="13">
        <f>IFERROR(COUNTIF('Manual Test Cases'!I1:I446,"Pass")/COUNTA('Manual Test Cases'!C1:C446),0)</f>
        <v>0.99775784753363228</v>
      </c>
    </row>
    <row r="14" spans="2:3">
      <c r="B14" s="12" t="s">
        <v>1755</v>
      </c>
      <c r="C14" s="12">
        <f>COUNTIF('Manual Test Cases'!J1:J446,"High")</f>
        <v>59</v>
      </c>
    </row>
    <row r="15" spans="2:3">
      <c r="B15" s="12" t="s">
        <v>1756</v>
      </c>
      <c r="C15" s="12">
        <f>COUNTIF('Manual Test Cases'!J1:J446,"Medium")</f>
        <v>252</v>
      </c>
    </row>
    <row r="16" spans="2:3">
      <c r="B16" s="12" t="s">
        <v>1757</v>
      </c>
      <c r="C16" s="12">
        <f>COUNTIF('Manual Test Cases'!J1:J446,"Low")</f>
        <v>134</v>
      </c>
    </row>
    <row r="18" spans="2:3" ht="15" customHeight="1">
      <c r="B18" s="14" t="s">
        <v>1758</v>
      </c>
    </row>
    <row r="19" spans="2:3">
      <c r="B19" s="15" t="s">
        <v>34</v>
      </c>
      <c r="C19" s="15" t="s">
        <v>1759</v>
      </c>
    </row>
    <row r="20" spans="2:3">
      <c r="B20" s="16" t="s">
        <v>43</v>
      </c>
      <c r="C20" s="17">
        <f>COUNTIF('Manual Test Cases'!B1:B446,"Homepage &amp; Page Load")</f>
        <v>14</v>
      </c>
    </row>
    <row r="21" spans="2:3">
      <c r="B21" s="16" t="s">
        <v>107</v>
      </c>
      <c r="C21" s="17">
        <f>COUNTIF('Manual Test Cases'!B1:B446,"Ingredient Input - Functional")</f>
        <v>25</v>
      </c>
    </row>
    <row r="22" spans="2:3">
      <c r="B22" s="16" t="s">
        <v>209</v>
      </c>
      <c r="C22" s="17">
        <f>COUNTIF('Manual Test Cases'!B1:B446,"Input Validation &amp; Edge Cases")</f>
        <v>42</v>
      </c>
    </row>
    <row r="23" spans="2:3">
      <c r="B23" s="16" t="s">
        <v>350</v>
      </c>
      <c r="C23" s="17">
        <f>COUNTIF('Manual Test Cases'!B1:B446,"Recipe Generation Output")</f>
        <v>30</v>
      </c>
    </row>
    <row r="24" spans="2:3">
      <c r="B24" s="16" t="s">
        <v>471</v>
      </c>
      <c r="C24" s="17">
        <f>COUNTIF('Manual Test Cases'!B1:B446,"Recipe Detail Interactions")</f>
        <v>20</v>
      </c>
    </row>
    <row r="25" spans="2:3">
      <c r="B25" s="16" t="s">
        <v>552</v>
      </c>
      <c r="C25" s="17">
        <f>COUNTIF('Manual Test Cases'!B1:B446,"Responsive Design")</f>
        <v>28</v>
      </c>
    </row>
    <row r="26" spans="2:3">
      <c r="B26" s="16" t="s">
        <v>641</v>
      </c>
      <c r="C26" s="17">
        <f>COUNTIF('Manual Test Cases'!B1:B446,"Cross-Browser Compatibility")</f>
        <v>24</v>
      </c>
    </row>
    <row r="27" spans="2:3">
      <c r="B27" s="16" t="s">
        <v>698</v>
      </c>
      <c r="C27" s="17">
        <f>COUNTIF('Manual Test Cases'!B1:B446,"Accessibility")</f>
        <v>25</v>
      </c>
    </row>
    <row r="28" spans="2:3">
      <c r="B28" s="16" t="s">
        <v>779</v>
      </c>
      <c r="C28" s="17">
        <f>COUNTIF('Manual Test Cases'!B1:B446,"Security &amp; Privacy")</f>
        <v>20</v>
      </c>
    </row>
    <row r="29" spans="2:3">
      <c r="B29" s="16" t="s">
        <v>860</v>
      </c>
      <c r="C29" s="17">
        <f>COUNTIF('Manual Test Cases'!B1:B446,"Performance &amp; Load")</f>
        <v>15</v>
      </c>
    </row>
    <row r="30" spans="2:3">
      <c r="B30" s="16" t="s">
        <v>920</v>
      </c>
      <c r="C30" s="17">
        <f>COUNTIF('Manual Test Cases'!B1:B446,"Error Handling &amp; Network Conditions")</f>
        <v>20</v>
      </c>
    </row>
    <row r="31" spans="2:3">
      <c r="B31" s="16" t="s">
        <v>1001</v>
      </c>
      <c r="C31" s="17">
        <f>COUNTIF('Manual Test Cases'!B1:B446,"Navigation &amp; Links")</f>
        <v>15</v>
      </c>
    </row>
    <row r="32" spans="2:3">
      <c r="B32" s="16" t="s">
        <v>1062</v>
      </c>
      <c r="C32" s="17">
        <f>COUNTIF('Manual Test Cases'!B1:B446,"SEO &amp; Metadata")</f>
        <v>10</v>
      </c>
    </row>
    <row r="33" spans="2:3">
      <c r="B33" s="16" t="s">
        <v>1103</v>
      </c>
      <c r="C33" s="17">
        <f>COUNTIF('Manual Test Cases'!B1:B446,"Session, State &amp; Browser Storage")</f>
        <v>10</v>
      </c>
    </row>
    <row r="34" spans="2:3">
      <c r="B34" s="16" t="s">
        <v>1144</v>
      </c>
      <c r="C34" s="17">
        <f>COUNTIF('Manual Test Cases'!B1:B446,"Notifications, Toasts &amp; Alerts")</f>
        <v>10</v>
      </c>
    </row>
    <row r="35" spans="2:3">
      <c r="B35" s="16" t="s">
        <v>1185</v>
      </c>
      <c r="C35" s="17">
        <f>COUNTIF('Manual Test Cases'!B1:B446,"Content &amp; Copy Quality")</f>
        <v>10</v>
      </c>
    </row>
    <row r="36" spans="2:3">
      <c r="B36" s="16" t="s">
        <v>1226</v>
      </c>
      <c r="C36" s="17">
        <f>COUNTIF('Manual Test Cases'!B1:B446,"Device &amp; OS Compatibility")</f>
        <v>10</v>
      </c>
    </row>
    <row r="37" spans="2:3">
      <c r="B37" s="16" t="s">
        <v>1265</v>
      </c>
      <c r="C37" s="17">
        <f>COUNTIF('Manual Test Cases'!B1:B446,"Localization &amp; Internationalization")</f>
        <v>10</v>
      </c>
    </row>
    <row r="38" spans="2:3">
      <c r="B38" s="16" t="s">
        <v>1306</v>
      </c>
      <c r="C38" s="17">
        <f>COUNTIF('Manual Test Cases'!B1:B446,"Usability")</f>
        <v>15</v>
      </c>
    </row>
    <row r="39" spans="2:3">
      <c r="B39" s="16" t="s">
        <v>1367</v>
      </c>
      <c r="C39" s="17">
        <f>COUNTIF('Manual Test Cases'!B1:B446,"Print Functionality")</f>
        <v>8</v>
      </c>
    </row>
    <row r="40" spans="2:3">
      <c r="B40" s="16" t="s">
        <v>1400</v>
      </c>
      <c r="C40" s="17">
        <f>COUNTIF('Manual Test Cases'!B1:B446,"Ingredient-Category-Specific Generation")</f>
        <v>30</v>
      </c>
    </row>
    <row r="41" spans="2:3">
      <c r="B41" s="16" t="s">
        <v>1521</v>
      </c>
      <c r="C41" s="17">
        <f>COUNTIF('Manual Test Cases'!B1:B446,"Dietary &amp; Recipe Filters")</f>
        <v>20</v>
      </c>
    </row>
    <row r="42" spans="2:3">
      <c r="B42" s="16" t="s">
        <v>1602</v>
      </c>
      <c r="C42" s="17">
        <f>COUNTIF('Manual Test Cases'!B1:B446,"API &amp; Backend Response Validation")</f>
        <v>15</v>
      </c>
    </row>
    <row r="43" spans="2:3">
      <c r="B43" s="16" t="s">
        <v>1663</v>
      </c>
      <c r="C43" s="17">
        <f>COUNTIF('Manual Test Cases'!B1:B446,"Load &amp; Stress Testing")</f>
        <v>10</v>
      </c>
    </row>
    <row r="44" spans="2:3">
      <c r="B44" s="16" t="s">
        <v>1706</v>
      </c>
      <c r="C44" s="17">
        <f>COUNTIF('Manual Test Cases'!B1:B446,"Regression / Smoke Test Checklist")</f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Report</vt:lpstr>
      <vt:lpstr>Manual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Mandal</cp:lastModifiedBy>
  <cp:revision>0</cp:revision>
  <dcterms:created xsi:type="dcterms:W3CDTF">2026-08-11T19:33:01Z</dcterms:created>
  <dcterms:modified xsi:type="dcterms:W3CDTF">2026-08-12T06:18:52Z</dcterms:modified>
  <dc:language>en-US</dc:language>
</cp:coreProperties>
</file>